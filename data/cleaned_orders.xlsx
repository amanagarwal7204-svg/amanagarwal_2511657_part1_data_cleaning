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jograina/Downloads/MasaixBITS/Capstone Project/sanjograina_bitsom_ba_2511194_part1_data_cleaning/data/"/>
    </mc:Choice>
  </mc:AlternateContent>
  <xr:revisionPtr revIDLastSave="0" documentId="13_ncr:1_{6FD25ECA-2E4C-D844-8DB0-627FFD07A3BE}" xr6:coauthVersionLast="47" xr6:coauthVersionMax="47" xr10:uidLastSave="{00000000-0000-0000-0000-000000000000}"/>
  <bookViews>
    <workbookView xWindow="0" yWindow="660" windowWidth="29400" windowHeight="17180" xr2:uid="{6E1017F2-E403-0440-8825-A1AE9A4D367A}"/>
  </bookViews>
  <sheets>
    <sheet name="Sheet2" sheetId="2" r:id="rId1"/>
  </sheets>
  <definedNames>
    <definedName name="_xlnm._FilterDatabase" localSheetId="0" hidden="1">Sheet2!$A$1:$AG$913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2" l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AB33" i="2" s="1"/>
  <c r="AC33" i="2" s="1"/>
  <c r="Y34" i="2"/>
  <c r="AB34" i="2" s="1"/>
  <c r="Y35" i="2"/>
  <c r="AB35" i="2" s="1"/>
  <c r="Y36" i="2"/>
  <c r="AB36" i="2" s="1"/>
  <c r="Y37" i="2"/>
  <c r="Y38" i="2"/>
  <c r="AB38" i="2" s="1"/>
  <c r="Y39" i="2"/>
  <c r="AB39" i="2" s="1"/>
  <c r="AC39" i="2" s="1"/>
  <c r="Y40" i="2"/>
  <c r="AB40" i="2" s="1"/>
  <c r="Y41" i="2"/>
  <c r="AB41" i="2" s="1"/>
  <c r="Y42" i="2"/>
  <c r="AB42" i="2" s="1"/>
  <c r="Y43" i="2"/>
  <c r="AB43" i="2" s="1"/>
  <c r="Y44" i="2"/>
  <c r="AB44" i="2" s="1"/>
  <c r="Y45" i="2"/>
  <c r="AB45" i="2" s="1"/>
  <c r="Y46" i="2"/>
  <c r="AB46" i="2" s="1"/>
  <c r="Y47" i="2"/>
  <c r="AB47" i="2" s="1"/>
  <c r="Y48" i="2"/>
  <c r="AB48" i="2" s="1"/>
  <c r="Y49" i="2"/>
  <c r="AB49" i="2" s="1"/>
  <c r="AC49" i="2" s="1"/>
  <c r="Y50" i="2"/>
  <c r="AB50" i="2" s="1"/>
  <c r="Y51" i="2"/>
  <c r="AB51" i="2" s="1"/>
  <c r="Y52" i="2"/>
  <c r="AB52" i="2" s="1"/>
  <c r="Y53" i="2"/>
  <c r="AB53" i="2" s="1"/>
  <c r="Y54" i="2"/>
  <c r="AB54" i="2" s="1"/>
  <c r="Y55" i="2"/>
  <c r="AB55" i="2" s="1"/>
  <c r="AC55" i="2" s="1"/>
  <c r="Y56" i="2"/>
  <c r="AB56" i="2" s="1"/>
  <c r="Y57" i="2"/>
  <c r="AB57" i="2" s="1"/>
  <c r="Y58" i="2"/>
  <c r="AB58" i="2" s="1"/>
  <c r="Y59" i="2"/>
  <c r="AB59" i="2" s="1"/>
  <c r="Y60" i="2"/>
  <c r="AB60" i="2" s="1"/>
  <c r="Y61" i="2"/>
  <c r="AB61" i="2" s="1"/>
  <c r="Y62" i="2"/>
  <c r="AB62" i="2" s="1"/>
  <c r="Y63" i="2"/>
  <c r="AB63" i="2" s="1"/>
  <c r="Y64" i="2"/>
  <c r="AB64" i="2" s="1"/>
  <c r="Y65" i="2"/>
  <c r="AB65" i="2" s="1"/>
  <c r="AC65" i="2" s="1"/>
  <c r="Y66" i="2"/>
  <c r="AB66" i="2" s="1"/>
  <c r="Y67" i="2"/>
  <c r="AB67" i="2" s="1"/>
  <c r="Y68" i="2"/>
  <c r="AB68" i="2" s="1"/>
  <c r="Y69" i="2"/>
  <c r="AB69" i="2" s="1"/>
  <c r="Y70" i="2"/>
  <c r="AB70" i="2" s="1"/>
  <c r="Y71" i="2"/>
  <c r="AB71" i="2" s="1"/>
  <c r="AC71" i="2" s="1"/>
  <c r="Y72" i="2"/>
  <c r="AB72" i="2" s="1"/>
  <c r="Y73" i="2"/>
  <c r="AB73" i="2" s="1"/>
  <c r="Y74" i="2"/>
  <c r="AB74" i="2" s="1"/>
  <c r="Y75" i="2"/>
  <c r="AB75" i="2" s="1"/>
  <c r="Y76" i="2"/>
  <c r="AB76" i="2" s="1"/>
  <c r="Y77" i="2"/>
  <c r="AB77" i="2" s="1"/>
  <c r="Y78" i="2"/>
  <c r="AB78" i="2" s="1"/>
  <c r="Y79" i="2"/>
  <c r="AB79" i="2" s="1"/>
  <c r="Y80" i="2"/>
  <c r="AB80" i="2" s="1"/>
  <c r="Y81" i="2"/>
  <c r="AB81" i="2" s="1"/>
  <c r="AC81" i="2" s="1"/>
  <c r="Y82" i="2"/>
  <c r="AB82" i="2" s="1"/>
  <c r="Y83" i="2"/>
  <c r="AB83" i="2" s="1"/>
  <c r="Y84" i="2"/>
  <c r="AB84" i="2" s="1"/>
  <c r="Y85" i="2"/>
  <c r="AB85" i="2" s="1"/>
  <c r="Y86" i="2"/>
  <c r="AB86" i="2" s="1"/>
  <c r="Y87" i="2"/>
  <c r="AB87" i="2" s="1"/>
  <c r="AC87" i="2" s="1"/>
  <c r="Y88" i="2"/>
  <c r="AB88" i="2" s="1"/>
  <c r="Y89" i="2"/>
  <c r="AB89" i="2" s="1"/>
  <c r="Y90" i="2"/>
  <c r="AB90" i="2" s="1"/>
  <c r="Y91" i="2"/>
  <c r="AB91" i="2" s="1"/>
  <c r="Y92" i="2"/>
  <c r="AB92" i="2" s="1"/>
  <c r="Y93" i="2"/>
  <c r="AB93" i="2" s="1"/>
  <c r="Y94" i="2"/>
  <c r="AB94" i="2" s="1"/>
  <c r="Y95" i="2"/>
  <c r="AB95" i="2" s="1"/>
  <c r="Y96" i="2"/>
  <c r="AB96" i="2" s="1"/>
  <c r="Y97" i="2"/>
  <c r="AB97" i="2" s="1"/>
  <c r="AC97" i="2" s="1"/>
  <c r="Y98" i="2"/>
  <c r="AB98" i="2" s="1"/>
  <c r="Y99" i="2"/>
  <c r="AB99" i="2" s="1"/>
  <c r="Y100" i="2"/>
  <c r="AB100" i="2" s="1"/>
  <c r="Y101" i="2"/>
  <c r="AB101" i="2" s="1"/>
  <c r="Y102" i="2"/>
  <c r="AB102" i="2" s="1"/>
  <c r="Y103" i="2"/>
  <c r="AB103" i="2" s="1"/>
  <c r="AC103" i="2" s="1"/>
  <c r="Y104" i="2"/>
  <c r="AB104" i="2" s="1"/>
  <c r="Y105" i="2"/>
  <c r="AB105" i="2" s="1"/>
  <c r="Y106" i="2"/>
  <c r="AB106" i="2" s="1"/>
  <c r="Y107" i="2"/>
  <c r="AB107" i="2" s="1"/>
  <c r="Y108" i="2"/>
  <c r="AB108" i="2" s="1"/>
  <c r="Y109" i="2"/>
  <c r="AB109" i="2" s="1"/>
  <c r="Y110" i="2"/>
  <c r="AB110" i="2" s="1"/>
  <c r="Y111" i="2"/>
  <c r="AB111" i="2" s="1"/>
  <c r="Y112" i="2"/>
  <c r="AB112" i="2" s="1"/>
  <c r="Y113" i="2"/>
  <c r="AB113" i="2" s="1"/>
  <c r="AC113" i="2" s="1"/>
  <c r="Y114" i="2"/>
  <c r="AB114" i="2" s="1"/>
  <c r="Y115" i="2"/>
  <c r="AB115" i="2" s="1"/>
  <c r="Y116" i="2"/>
  <c r="AB116" i="2" s="1"/>
  <c r="Y117" i="2"/>
  <c r="AB117" i="2" s="1"/>
  <c r="Y118" i="2"/>
  <c r="AB118" i="2" s="1"/>
  <c r="Y119" i="2"/>
  <c r="AB119" i="2" s="1"/>
  <c r="AC119" i="2" s="1"/>
  <c r="Y120" i="2"/>
  <c r="AB120" i="2" s="1"/>
  <c r="Y121" i="2"/>
  <c r="AB121" i="2" s="1"/>
  <c r="Y122" i="2"/>
  <c r="AB122" i="2" s="1"/>
  <c r="Y123" i="2"/>
  <c r="AB123" i="2" s="1"/>
  <c r="Y124" i="2"/>
  <c r="AB124" i="2" s="1"/>
  <c r="Y125" i="2"/>
  <c r="AB125" i="2" s="1"/>
  <c r="Y126" i="2"/>
  <c r="AB126" i="2" s="1"/>
  <c r="Y127" i="2"/>
  <c r="AB127" i="2" s="1"/>
  <c r="Y128" i="2"/>
  <c r="AB128" i="2" s="1"/>
  <c r="Y129" i="2"/>
  <c r="AB129" i="2" s="1"/>
  <c r="AC129" i="2" s="1"/>
  <c r="Y130" i="2"/>
  <c r="AB130" i="2" s="1"/>
  <c r="Y131" i="2"/>
  <c r="AB131" i="2" s="1"/>
  <c r="Y132" i="2"/>
  <c r="AB132" i="2" s="1"/>
  <c r="Y133" i="2"/>
  <c r="AB133" i="2" s="1"/>
  <c r="Y134" i="2"/>
  <c r="AB134" i="2" s="1"/>
  <c r="Y135" i="2"/>
  <c r="AB135" i="2" s="1"/>
  <c r="AC135" i="2" s="1"/>
  <c r="Y136" i="2"/>
  <c r="AB136" i="2" s="1"/>
  <c r="Y137" i="2"/>
  <c r="AB137" i="2" s="1"/>
  <c r="Y138" i="2"/>
  <c r="AB138" i="2" s="1"/>
  <c r="Y139" i="2"/>
  <c r="AB139" i="2" s="1"/>
  <c r="Y140" i="2"/>
  <c r="AB140" i="2" s="1"/>
  <c r="Y141" i="2"/>
  <c r="AB141" i="2" s="1"/>
  <c r="Y142" i="2"/>
  <c r="AB142" i="2" s="1"/>
  <c r="Y143" i="2"/>
  <c r="AB143" i="2" s="1"/>
  <c r="Y144" i="2"/>
  <c r="AB144" i="2" s="1"/>
  <c r="Y145" i="2"/>
  <c r="AB145" i="2" s="1"/>
  <c r="AC145" i="2" s="1"/>
  <c r="Y146" i="2"/>
  <c r="AB146" i="2" s="1"/>
  <c r="Y147" i="2"/>
  <c r="AB147" i="2" s="1"/>
  <c r="Y148" i="2"/>
  <c r="AB148" i="2" s="1"/>
  <c r="Y149" i="2"/>
  <c r="AB149" i="2" s="1"/>
  <c r="Y150" i="2"/>
  <c r="AB150" i="2" s="1"/>
  <c r="Y151" i="2"/>
  <c r="AB151" i="2" s="1"/>
  <c r="AC151" i="2" s="1"/>
  <c r="Y152" i="2"/>
  <c r="AB152" i="2" s="1"/>
  <c r="Y153" i="2"/>
  <c r="AB153" i="2" s="1"/>
  <c r="Y154" i="2"/>
  <c r="AB154" i="2" s="1"/>
  <c r="Y155" i="2"/>
  <c r="AB155" i="2" s="1"/>
  <c r="Y156" i="2"/>
  <c r="AB156" i="2" s="1"/>
  <c r="Y157" i="2"/>
  <c r="AB157" i="2" s="1"/>
  <c r="Y158" i="2"/>
  <c r="AB158" i="2" s="1"/>
  <c r="Y159" i="2"/>
  <c r="AB159" i="2" s="1"/>
  <c r="Y160" i="2"/>
  <c r="AB160" i="2" s="1"/>
  <c r="Y161" i="2"/>
  <c r="AB161" i="2" s="1"/>
  <c r="AC161" i="2" s="1"/>
  <c r="Y162" i="2"/>
  <c r="AB162" i="2" s="1"/>
  <c r="Y163" i="2"/>
  <c r="AB163" i="2" s="1"/>
  <c r="Y164" i="2"/>
  <c r="AB164" i="2" s="1"/>
  <c r="Y165" i="2"/>
  <c r="AB165" i="2" s="1"/>
  <c r="Y166" i="2"/>
  <c r="AB166" i="2" s="1"/>
  <c r="Y167" i="2"/>
  <c r="AB167" i="2" s="1"/>
  <c r="AC167" i="2" s="1"/>
  <c r="Y168" i="2"/>
  <c r="AB168" i="2" s="1"/>
  <c r="Y169" i="2"/>
  <c r="AB169" i="2" s="1"/>
  <c r="Y170" i="2"/>
  <c r="AB170" i="2" s="1"/>
  <c r="Y171" i="2"/>
  <c r="AB171" i="2" s="1"/>
  <c r="Y172" i="2"/>
  <c r="AB172" i="2" s="1"/>
  <c r="Y173" i="2"/>
  <c r="AB173" i="2" s="1"/>
  <c r="Y174" i="2"/>
  <c r="AB174" i="2" s="1"/>
  <c r="Y175" i="2"/>
  <c r="AB175" i="2" s="1"/>
  <c r="Y176" i="2"/>
  <c r="AB176" i="2" s="1"/>
  <c r="Y177" i="2"/>
  <c r="AB177" i="2" s="1"/>
  <c r="AC177" i="2" s="1"/>
  <c r="Y178" i="2"/>
  <c r="AB178" i="2" s="1"/>
  <c r="Y179" i="2"/>
  <c r="AB179" i="2" s="1"/>
  <c r="Y180" i="2"/>
  <c r="AB180" i="2" s="1"/>
  <c r="Y181" i="2"/>
  <c r="AB181" i="2" s="1"/>
  <c r="Y182" i="2"/>
  <c r="AB182" i="2" s="1"/>
  <c r="Y183" i="2"/>
  <c r="AB183" i="2" s="1"/>
  <c r="AC183" i="2" s="1"/>
  <c r="Y184" i="2"/>
  <c r="AB184" i="2" s="1"/>
  <c r="Y185" i="2"/>
  <c r="AB185" i="2" s="1"/>
  <c r="Y186" i="2"/>
  <c r="AB186" i="2" s="1"/>
  <c r="Y187" i="2"/>
  <c r="AB187" i="2" s="1"/>
  <c r="Y188" i="2"/>
  <c r="AB188" i="2" s="1"/>
  <c r="Y189" i="2"/>
  <c r="AB189" i="2" s="1"/>
  <c r="Y190" i="2"/>
  <c r="AB190" i="2" s="1"/>
  <c r="Y191" i="2"/>
  <c r="AB191" i="2" s="1"/>
  <c r="Y192" i="2"/>
  <c r="AB192" i="2" s="1"/>
  <c r="Y193" i="2"/>
  <c r="AB193" i="2" s="1"/>
  <c r="AC193" i="2" s="1"/>
  <c r="Y194" i="2"/>
  <c r="AB194" i="2" s="1"/>
  <c r="Y195" i="2"/>
  <c r="AB195" i="2" s="1"/>
  <c r="Y196" i="2"/>
  <c r="AB196" i="2" s="1"/>
  <c r="Y197" i="2"/>
  <c r="AB197" i="2" s="1"/>
  <c r="Y198" i="2"/>
  <c r="AB198" i="2" s="1"/>
  <c r="Y199" i="2"/>
  <c r="AB199" i="2" s="1"/>
  <c r="AC199" i="2" s="1"/>
  <c r="Y200" i="2"/>
  <c r="AB200" i="2" s="1"/>
  <c r="Y201" i="2"/>
  <c r="AB201" i="2" s="1"/>
  <c r="Y202" i="2"/>
  <c r="AB202" i="2" s="1"/>
  <c r="Y203" i="2"/>
  <c r="AB203" i="2" s="1"/>
  <c r="Y204" i="2"/>
  <c r="AB204" i="2" s="1"/>
  <c r="Y205" i="2"/>
  <c r="AB205" i="2" s="1"/>
  <c r="Y206" i="2"/>
  <c r="AB206" i="2" s="1"/>
  <c r="Y207" i="2"/>
  <c r="AB207" i="2" s="1"/>
  <c r="Y208" i="2"/>
  <c r="AB208" i="2" s="1"/>
  <c r="Y209" i="2"/>
  <c r="AB209" i="2" s="1"/>
  <c r="AC209" i="2" s="1"/>
  <c r="Y210" i="2"/>
  <c r="AB210" i="2" s="1"/>
  <c r="Y211" i="2"/>
  <c r="AB211" i="2" s="1"/>
  <c r="Y212" i="2"/>
  <c r="AB212" i="2" s="1"/>
  <c r="Y213" i="2"/>
  <c r="AB213" i="2" s="1"/>
  <c r="Y214" i="2"/>
  <c r="AB214" i="2" s="1"/>
  <c r="Y215" i="2"/>
  <c r="AB215" i="2" s="1"/>
  <c r="AC215" i="2" s="1"/>
  <c r="Y216" i="2"/>
  <c r="AB216" i="2" s="1"/>
  <c r="Y217" i="2"/>
  <c r="AB217" i="2" s="1"/>
  <c r="Y218" i="2"/>
  <c r="AB218" i="2" s="1"/>
  <c r="Y219" i="2"/>
  <c r="AB219" i="2" s="1"/>
  <c r="Y220" i="2"/>
  <c r="AB220" i="2" s="1"/>
  <c r="Y221" i="2"/>
  <c r="AB221" i="2" s="1"/>
  <c r="Y222" i="2"/>
  <c r="AB222" i="2" s="1"/>
  <c r="Y223" i="2"/>
  <c r="AB223" i="2" s="1"/>
  <c r="Y224" i="2"/>
  <c r="AB224" i="2" s="1"/>
  <c r="Y225" i="2"/>
  <c r="AB225" i="2" s="1"/>
  <c r="AC225" i="2" s="1"/>
  <c r="Y226" i="2"/>
  <c r="AB226" i="2" s="1"/>
  <c r="Y227" i="2"/>
  <c r="AB227" i="2" s="1"/>
  <c r="Y228" i="2"/>
  <c r="AB228" i="2" s="1"/>
  <c r="Y229" i="2"/>
  <c r="AB229" i="2" s="1"/>
  <c r="Y230" i="2"/>
  <c r="AB230" i="2" s="1"/>
  <c r="Y231" i="2"/>
  <c r="AB231" i="2" s="1"/>
  <c r="Y232" i="2"/>
  <c r="AB232" i="2" s="1"/>
  <c r="Y233" i="2"/>
  <c r="AB233" i="2" s="1"/>
  <c r="Y234" i="2"/>
  <c r="AB234" i="2" s="1"/>
  <c r="Y235" i="2"/>
  <c r="AB235" i="2" s="1"/>
  <c r="Y236" i="2"/>
  <c r="AB236" i="2" s="1"/>
  <c r="Y237" i="2"/>
  <c r="AB237" i="2" s="1"/>
  <c r="Y238" i="2"/>
  <c r="AB238" i="2" s="1"/>
  <c r="Y239" i="2"/>
  <c r="AB239" i="2" s="1"/>
  <c r="AC239" i="2" s="1"/>
  <c r="Y240" i="2"/>
  <c r="AB240" i="2" s="1"/>
  <c r="Y241" i="2"/>
  <c r="AB241" i="2" s="1"/>
  <c r="AC241" i="2" s="1"/>
  <c r="Y242" i="2"/>
  <c r="AB242" i="2" s="1"/>
  <c r="Y243" i="2"/>
  <c r="AB243" i="2" s="1"/>
  <c r="Y244" i="2"/>
  <c r="AB244" i="2" s="1"/>
  <c r="Y245" i="2"/>
  <c r="Y246" i="2"/>
  <c r="AB246" i="2" s="1"/>
  <c r="Y247" i="2"/>
  <c r="AB247" i="2" s="1"/>
  <c r="Y248" i="2"/>
  <c r="AB248" i="2" s="1"/>
  <c r="Y249" i="2"/>
  <c r="AB249" i="2" s="1"/>
  <c r="AC249" i="2" s="1"/>
  <c r="Y250" i="2"/>
  <c r="AB250" i="2" s="1"/>
  <c r="Y251" i="2"/>
  <c r="AB251" i="2" s="1"/>
  <c r="Y252" i="2"/>
  <c r="AB252" i="2" s="1"/>
  <c r="Y253" i="2"/>
  <c r="AB253" i="2" s="1"/>
  <c r="Y254" i="2"/>
  <c r="AB254" i="2" s="1"/>
  <c r="Y255" i="2"/>
  <c r="AB255" i="2" s="1"/>
  <c r="AC255" i="2" s="1"/>
  <c r="Y256" i="2"/>
  <c r="AB256" i="2" s="1"/>
  <c r="Y257" i="2"/>
  <c r="AB257" i="2" s="1"/>
  <c r="Y258" i="2"/>
  <c r="AB258" i="2" s="1"/>
  <c r="Y259" i="2"/>
  <c r="AB259" i="2" s="1"/>
  <c r="Y260" i="2"/>
  <c r="AB260" i="2" s="1"/>
  <c r="Y261" i="2"/>
  <c r="AB261" i="2" s="1"/>
  <c r="Y262" i="2"/>
  <c r="AB262" i="2" s="1"/>
  <c r="Y263" i="2"/>
  <c r="AB263" i="2" s="1"/>
  <c r="AC263" i="2" s="1"/>
  <c r="Y264" i="2"/>
  <c r="AB264" i="2" s="1"/>
  <c r="Y265" i="2"/>
  <c r="AB265" i="2" s="1"/>
  <c r="Y266" i="2"/>
  <c r="AB266" i="2" s="1"/>
  <c r="AC266" i="2" s="1"/>
  <c r="Y267" i="2"/>
  <c r="AB267" i="2" s="1"/>
  <c r="Y268" i="2"/>
  <c r="AB268" i="2" s="1"/>
  <c r="Y269" i="2"/>
  <c r="AB269" i="2" s="1"/>
  <c r="Y270" i="2"/>
  <c r="AB270" i="2" s="1"/>
  <c r="Y271" i="2"/>
  <c r="AB271" i="2" s="1"/>
  <c r="Y272" i="2"/>
  <c r="AB272" i="2" s="1"/>
  <c r="Y273" i="2"/>
  <c r="AB273" i="2" s="1"/>
  <c r="AC273" i="2" s="1"/>
  <c r="Y274" i="2"/>
  <c r="AB274" i="2" s="1"/>
  <c r="AC274" i="2" s="1"/>
  <c r="Y275" i="2"/>
  <c r="AB275" i="2" s="1"/>
  <c r="Y276" i="2"/>
  <c r="AB276" i="2" s="1"/>
  <c r="Y277" i="2"/>
  <c r="AB277" i="2" s="1"/>
  <c r="Y278" i="2"/>
  <c r="AB278" i="2" s="1"/>
  <c r="Y279" i="2"/>
  <c r="AB279" i="2" s="1"/>
  <c r="Y280" i="2"/>
  <c r="AB280" i="2" s="1"/>
  <c r="Y281" i="2"/>
  <c r="AB281" i="2" s="1"/>
  <c r="Y282" i="2"/>
  <c r="AB282" i="2" s="1"/>
  <c r="AC282" i="2" s="1"/>
  <c r="Y283" i="2"/>
  <c r="AB283" i="2" s="1"/>
  <c r="Y284" i="2"/>
  <c r="AB284" i="2" s="1"/>
  <c r="Y285" i="2"/>
  <c r="AB285" i="2" s="1"/>
  <c r="Y286" i="2"/>
  <c r="AB286" i="2" s="1"/>
  <c r="Y287" i="2"/>
  <c r="AB287" i="2" s="1"/>
  <c r="Y288" i="2"/>
  <c r="AB288" i="2" s="1"/>
  <c r="Y289" i="2"/>
  <c r="AB289" i="2" s="1"/>
  <c r="Y290" i="2"/>
  <c r="AB290" i="2" s="1"/>
  <c r="Y291" i="2"/>
  <c r="AB291" i="2" s="1"/>
  <c r="Y292" i="2"/>
  <c r="AB292" i="2" s="1"/>
  <c r="Y293" i="2"/>
  <c r="AB293" i="2" s="1"/>
  <c r="Y294" i="2"/>
  <c r="AB294" i="2" s="1"/>
  <c r="Y295" i="2"/>
  <c r="AB295" i="2" s="1"/>
  <c r="Y296" i="2"/>
  <c r="AB296" i="2" s="1"/>
  <c r="Y297" i="2"/>
  <c r="AB297" i="2" s="1"/>
  <c r="Y298" i="2"/>
  <c r="AB298" i="2" s="1"/>
  <c r="AC298" i="2" s="1"/>
  <c r="Y299" i="2"/>
  <c r="AB299" i="2" s="1"/>
  <c r="Y300" i="2"/>
  <c r="AB300" i="2" s="1"/>
  <c r="Y301" i="2"/>
  <c r="AB301" i="2" s="1"/>
  <c r="Y302" i="2"/>
  <c r="AB302" i="2" s="1"/>
  <c r="Y303" i="2"/>
  <c r="AB303" i="2" s="1"/>
  <c r="Y304" i="2"/>
  <c r="AB304" i="2" s="1"/>
  <c r="Y305" i="2"/>
  <c r="AB305" i="2" s="1"/>
  <c r="AC305" i="2" s="1"/>
  <c r="Y306" i="2"/>
  <c r="AB306" i="2" s="1"/>
  <c r="AC306" i="2" s="1"/>
  <c r="Y307" i="2"/>
  <c r="AB307" i="2" s="1"/>
  <c r="Y308" i="2"/>
  <c r="AB308" i="2" s="1"/>
  <c r="Y309" i="2"/>
  <c r="AB309" i="2" s="1"/>
  <c r="Y310" i="2"/>
  <c r="AB310" i="2" s="1"/>
  <c r="Y311" i="2"/>
  <c r="AB311" i="2" s="1"/>
  <c r="Y312" i="2"/>
  <c r="AB312" i="2" s="1"/>
  <c r="Y313" i="2"/>
  <c r="AB313" i="2" s="1"/>
  <c r="Y314" i="2"/>
  <c r="AB314" i="2" s="1"/>
  <c r="AC314" i="2" s="1"/>
  <c r="Y315" i="2"/>
  <c r="AB315" i="2" s="1"/>
  <c r="Y316" i="2"/>
  <c r="AB316" i="2" s="1"/>
  <c r="Y317" i="2"/>
  <c r="AB317" i="2" s="1"/>
  <c r="Y318" i="2"/>
  <c r="AB318" i="2" s="1"/>
  <c r="Y319" i="2"/>
  <c r="AB319" i="2" s="1"/>
  <c r="Y320" i="2"/>
  <c r="AB320" i="2" s="1"/>
  <c r="Y321" i="2"/>
  <c r="AB321" i="2" s="1"/>
  <c r="Y322" i="2"/>
  <c r="AB322" i="2" s="1"/>
  <c r="Y323" i="2"/>
  <c r="AB323" i="2" s="1"/>
  <c r="Y324" i="2"/>
  <c r="AB324" i="2" s="1"/>
  <c r="Y325" i="2"/>
  <c r="AB325" i="2" s="1"/>
  <c r="Y326" i="2"/>
  <c r="AB326" i="2" s="1"/>
  <c r="Y327" i="2"/>
  <c r="AB327" i="2" s="1"/>
  <c r="Y328" i="2"/>
  <c r="AB328" i="2" s="1"/>
  <c r="Y329" i="2"/>
  <c r="AB329" i="2" s="1"/>
  <c r="Y330" i="2"/>
  <c r="AB330" i="2" s="1"/>
  <c r="AC330" i="2" s="1"/>
  <c r="Y331" i="2"/>
  <c r="AB331" i="2" s="1"/>
  <c r="Y332" i="2"/>
  <c r="AB332" i="2" s="1"/>
  <c r="Y333" i="2"/>
  <c r="AB333" i="2" s="1"/>
  <c r="Y334" i="2"/>
  <c r="AB334" i="2" s="1"/>
  <c r="Y335" i="2"/>
  <c r="AB335" i="2" s="1"/>
  <c r="Y336" i="2"/>
  <c r="AB336" i="2" s="1"/>
  <c r="Y337" i="2"/>
  <c r="AB337" i="2" s="1"/>
  <c r="AC337" i="2" s="1"/>
  <c r="Y338" i="2"/>
  <c r="AB338" i="2" s="1"/>
  <c r="AC338" i="2" s="1"/>
  <c r="Y339" i="2"/>
  <c r="AB339" i="2" s="1"/>
  <c r="Y340" i="2"/>
  <c r="AB340" i="2" s="1"/>
  <c r="Y341" i="2"/>
  <c r="AB341" i="2" s="1"/>
  <c r="Y342" i="2"/>
  <c r="AB342" i="2" s="1"/>
  <c r="Y343" i="2"/>
  <c r="AB343" i="2" s="1"/>
  <c r="Y344" i="2"/>
  <c r="AB344" i="2" s="1"/>
  <c r="Y345" i="2"/>
  <c r="AB345" i="2" s="1"/>
  <c r="Y346" i="2"/>
  <c r="AB346" i="2" s="1"/>
  <c r="AC346" i="2" s="1"/>
  <c r="Y347" i="2"/>
  <c r="AB347" i="2" s="1"/>
  <c r="AC347" i="2" s="1"/>
  <c r="Y348" i="2"/>
  <c r="AB348" i="2" s="1"/>
  <c r="Y349" i="2"/>
  <c r="AB349" i="2" s="1"/>
  <c r="Y350" i="2"/>
  <c r="AB350" i="2" s="1"/>
  <c r="AC350" i="2" s="1"/>
  <c r="Y351" i="2"/>
  <c r="AB351" i="2" s="1"/>
  <c r="Y352" i="2"/>
  <c r="AB352" i="2" s="1"/>
  <c r="AC352" i="2" s="1"/>
  <c r="Y353" i="2"/>
  <c r="AB353" i="2" s="1"/>
  <c r="Y354" i="2"/>
  <c r="AB354" i="2" s="1"/>
  <c r="Y355" i="2"/>
  <c r="AB355" i="2" s="1"/>
  <c r="Y356" i="2"/>
  <c r="AB356" i="2" s="1"/>
  <c r="Y357" i="2"/>
  <c r="AB357" i="2" s="1"/>
  <c r="Y358" i="2"/>
  <c r="AB358" i="2" s="1"/>
  <c r="AC358" i="2" s="1"/>
  <c r="Y359" i="2"/>
  <c r="AB359" i="2" s="1"/>
  <c r="AC359" i="2" s="1"/>
  <c r="Y360" i="2"/>
  <c r="AB360" i="2" s="1"/>
  <c r="AC360" i="2" s="1"/>
  <c r="Y361" i="2"/>
  <c r="AB361" i="2" s="1"/>
  <c r="Y362" i="2"/>
  <c r="AB362" i="2" s="1"/>
  <c r="AC362" i="2" s="1"/>
  <c r="Y363" i="2"/>
  <c r="AB363" i="2" s="1"/>
  <c r="Y364" i="2"/>
  <c r="AB364" i="2" s="1"/>
  <c r="Y365" i="2"/>
  <c r="AB365" i="2" s="1"/>
  <c r="Y366" i="2"/>
  <c r="AB366" i="2" s="1"/>
  <c r="Y367" i="2"/>
  <c r="AB367" i="2" s="1"/>
  <c r="Y368" i="2"/>
  <c r="AB368" i="2" s="1"/>
  <c r="AC368" i="2" s="1"/>
  <c r="Y369" i="2"/>
  <c r="AB369" i="2" s="1"/>
  <c r="AC369" i="2" s="1"/>
  <c r="Y370" i="2"/>
  <c r="AB370" i="2" s="1"/>
  <c r="AC370" i="2" s="1"/>
  <c r="Y371" i="2"/>
  <c r="AB371" i="2" s="1"/>
  <c r="Y372" i="2"/>
  <c r="AB372" i="2" s="1"/>
  <c r="Y373" i="2"/>
  <c r="AB373" i="2" s="1"/>
  <c r="Y374" i="2"/>
  <c r="AB374" i="2" s="1"/>
  <c r="AC374" i="2" s="1"/>
  <c r="Y375" i="2"/>
  <c r="AB375" i="2" s="1"/>
  <c r="Y376" i="2"/>
  <c r="AB376" i="2" s="1"/>
  <c r="Y377" i="2"/>
  <c r="AB377" i="2" s="1"/>
  <c r="Y378" i="2"/>
  <c r="AB378" i="2" s="1"/>
  <c r="AC378" i="2" s="1"/>
  <c r="Y379" i="2"/>
  <c r="AB379" i="2" s="1"/>
  <c r="Y380" i="2"/>
  <c r="AB380" i="2" s="1"/>
  <c r="Y381" i="2"/>
  <c r="AB381" i="2" s="1"/>
  <c r="Y382" i="2"/>
  <c r="AB382" i="2" s="1"/>
  <c r="AC382" i="2" s="1"/>
  <c r="Y383" i="2"/>
  <c r="AB383" i="2" s="1"/>
  <c r="Y384" i="2"/>
  <c r="AB384" i="2" s="1"/>
  <c r="AC384" i="2" s="1"/>
  <c r="Y385" i="2"/>
  <c r="AB385" i="2" s="1"/>
  <c r="Y386" i="2"/>
  <c r="AB386" i="2" s="1"/>
  <c r="Y387" i="2"/>
  <c r="AB387" i="2" s="1"/>
  <c r="Y388" i="2"/>
  <c r="AB388" i="2" s="1"/>
  <c r="Y389" i="2"/>
  <c r="AB389" i="2" s="1"/>
  <c r="Y390" i="2"/>
  <c r="AB390" i="2" s="1"/>
  <c r="AC390" i="2" s="1"/>
  <c r="Y391" i="2"/>
  <c r="AB391" i="2" s="1"/>
  <c r="AC391" i="2" s="1"/>
  <c r="Y392" i="2"/>
  <c r="AB392" i="2" s="1"/>
  <c r="AC392" i="2" s="1"/>
  <c r="Y393" i="2"/>
  <c r="AB393" i="2" s="1"/>
  <c r="Y394" i="2"/>
  <c r="AB394" i="2" s="1"/>
  <c r="AC394" i="2" s="1"/>
  <c r="Y395" i="2"/>
  <c r="AB395" i="2" s="1"/>
  <c r="Y396" i="2"/>
  <c r="AB396" i="2" s="1"/>
  <c r="Y397" i="2"/>
  <c r="AB397" i="2" s="1"/>
  <c r="Y398" i="2"/>
  <c r="AB398" i="2" s="1"/>
  <c r="Y399" i="2"/>
  <c r="AB399" i="2" s="1"/>
  <c r="Y400" i="2"/>
  <c r="AB400" i="2" s="1"/>
  <c r="AC400" i="2" s="1"/>
  <c r="Y401" i="2"/>
  <c r="AB401" i="2" s="1"/>
  <c r="AC401" i="2" s="1"/>
  <c r="Y402" i="2"/>
  <c r="AB402" i="2" s="1"/>
  <c r="AC402" i="2" s="1"/>
  <c r="Y403" i="2"/>
  <c r="AB403" i="2" s="1"/>
  <c r="Y404" i="2"/>
  <c r="AB404" i="2" s="1"/>
  <c r="Y405" i="2"/>
  <c r="AB405" i="2" s="1"/>
  <c r="Y406" i="2"/>
  <c r="AB406" i="2" s="1"/>
  <c r="AC406" i="2" s="1"/>
  <c r="Y407" i="2"/>
  <c r="AB407" i="2" s="1"/>
  <c r="Y408" i="2"/>
  <c r="AB408" i="2" s="1"/>
  <c r="Y409" i="2"/>
  <c r="AB409" i="2" s="1"/>
  <c r="Y410" i="2"/>
  <c r="AB410" i="2" s="1"/>
  <c r="AC410" i="2" s="1"/>
  <c r="Y411" i="2"/>
  <c r="AB411" i="2" s="1"/>
  <c r="AC411" i="2" s="1"/>
  <c r="Y412" i="2"/>
  <c r="AB412" i="2" s="1"/>
  <c r="Y413" i="2"/>
  <c r="AB413" i="2" s="1"/>
  <c r="Y414" i="2"/>
  <c r="AB414" i="2" s="1"/>
  <c r="AC414" i="2" s="1"/>
  <c r="Y415" i="2"/>
  <c r="AB415" i="2" s="1"/>
  <c r="Y416" i="2"/>
  <c r="AB416" i="2" s="1"/>
  <c r="AC416" i="2" s="1"/>
  <c r="Y417" i="2"/>
  <c r="AB417" i="2" s="1"/>
  <c r="Y418" i="2"/>
  <c r="AB418" i="2" s="1"/>
  <c r="Y419" i="2"/>
  <c r="AB419" i="2" s="1"/>
  <c r="Y420" i="2"/>
  <c r="AB420" i="2" s="1"/>
  <c r="Y421" i="2"/>
  <c r="AB421" i="2" s="1"/>
  <c r="Y422" i="2"/>
  <c r="AB422" i="2" s="1"/>
  <c r="Y423" i="2"/>
  <c r="AB423" i="2" s="1"/>
  <c r="AC423" i="2" s="1"/>
  <c r="Y424" i="2"/>
  <c r="AB424" i="2" s="1"/>
  <c r="Y425" i="2"/>
  <c r="AB425" i="2" s="1"/>
  <c r="Y426" i="2"/>
  <c r="AB426" i="2" s="1"/>
  <c r="Y427" i="2"/>
  <c r="AB427" i="2" s="1"/>
  <c r="Y428" i="2"/>
  <c r="AB428" i="2" s="1"/>
  <c r="Y429" i="2"/>
  <c r="AB429" i="2" s="1"/>
  <c r="Y430" i="2"/>
  <c r="AB430" i="2" s="1"/>
  <c r="Y431" i="2"/>
  <c r="AB431" i="2" s="1"/>
  <c r="Y432" i="2"/>
  <c r="AB432" i="2" s="1"/>
  <c r="AC432" i="2" s="1"/>
  <c r="Y433" i="2"/>
  <c r="AB433" i="2" s="1"/>
  <c r="AC433" i="2" s="1"/>
  <c r="Y434" i="2"/>
  <c r="AB434" i="2" s="1"/>
  <c r="AC434" i="2" s="1"/>
  <c r="Y435" i="2"/>
  <c r="AB435" i="2" s="1"/>
  <c r="Y436" i="2"/>
  <c r="AB436" i="2" s="1"/>
  <c r="Y437" i="2"/>
  <c r="AB437" i="2" s="1"/>
  <c r="Y438" i="2"/>
  <c r="AB438" i="2" s="1"/>
  <c r="AC438" i="2" s="1"/>
  <c r="Y439" i="2"/>
  <c r="AB439" i="2" s="1"/>
  <c r="Y440" i="2"/>
  <c r="AB440" i="2" s="1"/>
  <c r="Y441" i="2"/>
  <c r="AB441" i="2" s="1"/>
  <c r="Y442" i="2"/>
  <c r="AB442" i="2" s="1"/>
  <c r="AC442" i="2" s="1"/>
  <c r="Y443" i="2"/>
  <c r="AB443" i="2" s="1"/>
  <c r="AC443" i="2" s="1"/>
  <c r="Y444" i="2"/>
  <c r="AB444" i="2" s="1"/>
  <c r="Y445" i="2"/>
  <c r="AB445" i="2" s="1"/>
  <c r="Y446" i="2"/>
  <c r="AB446" i="2" s="1"/>
  <c r="AC446" i="2" s="1"/>
  <c r="Y447" i="2"/>
  <c r="AB447" i="2" s="1"/>
  <c r="Y448" i="2"/>
  <c r="AB448" i="2" s="1"/>
  <c r="AC448" i="2" s="1"/>
  <c r="Y449" i="2"/>
  <c r="AB449" i="2" s="1"/>
  <c r="Y450" i="2"/>
  <c r="AB450" i="2" s="1"/>
  <c r="Y451" i="2"/>
  <c r="AB451" i="2" s="1"/>
  <c r="Y452" i="2"/>
  <c r="AB452" i="2" s="1"/>
  <c r="Y453" i="2"/>
  <c r="AB453" i="2" s="1"/>
  <c r="Y454" i="2"/>
  <c r="AB454" i="2" s="1"/>
  <c r="AC454" i="2" s="1"/>
  <c r="Y455" i="2"/>
  <c r="AB455" i="2" s="1"/>
  <c r="AC455" i="2" s="1"/>
  <c r="Y456" i="2"/>
  <c r="AB456" i="2" s="1"/>
  <c r="AC456" i="2" s="1"/>
  <c r="Y457" i="2"/>
  <c r="AB457" i="2" s="1"/>
  <c r="Y458" i="2"/>
  <c r="AB458" i="2" s="1"/>
  <c r="AC458" i="2" s="1"/>
  <c r="Y459" i="2"/>
  <c r="AB459" i="2" s="1"/>
  <c r="Y460" i="2"/>
  <c r="AB460" i="2" s="1"/>
  <c r="Y461" i="2"/>
  <c r="AB461" i="2" s="1"/>
  <c r="Y462" i="2"/>
  <c r="AB462" i="2" s="1"/>
  <c r="Y463" i="2"/>
  <c r="AB463" i="2" s="1"/>
  <c r="Y464" i="2"/>
  <c r="AB464" i="2" s="1"/>
  <c r="AC464" i="2" s="1"/>
  <c r="Y465" i="2"/>
  <c r="AB465" i="2" s="1"/>
  <c r="AC465" i="2" s="1"/>
  <c r="Y466" i="2"/>
  <c r="AB466" i="2" s="1"/>
  <c r="AC466" i="2" s="1"/>
  <c r="Y467" i="2"/>
  <c r="AB467" i="2" s="1"/>
  <c r="Y468" i="2"/>
  <c r="AB468" i="2" s="1"/>
  <c r="Y469" i="2"/>
  <c r="AB469" i="2" s="1"/>
  <c r="Y470" i="2"/>
  <c r="AB470" i="2" s="1"/>
  <c r="AC470" i="2" s="1"/>
  <c r="Y471" i="2"/>
  <c r="AB471" i="2" s="1"/>
  <c r="Y472" i="2"/>
  <c r="AB472" i="2" s="1"/>
  <c r="Y473" i="2"/>
  <c r="AB473" i="2" s="1"/>
  <c r="Y474" i="2"/>
  <c r="AB474" i="2" s="1"/>
  <c r="AC474" i="2" s="1"/>
  <c r="Y475" i="2"/>
  <c r="AB475" i="2" s="1"/>
  <c r="AC475" i="2" s="1"/>
  <c r="Y476" i="2"/>
  <c r="AB476" i="2" s="1"/>
  <c r="Y477" i="2"/>
  <c r="AB477" i="2" s="1"/>
  <c r="Y478" i="2"/>
  <c r="AB478" i="2" s="1"/>
  <c r="AC478" i="2" s="1"/>
  <c r="Y479" i="2"/>
  <c r="AB479" i="2" s="1"/>
  <c r="Y480" i="2"/>
  <c r="AB480" i="2" s="1"/>
  <c r="AC480" i="2" s="1"/>
  <c r="Y481" i="2"/>
  <c r="AB481" i="2" s="1"/>
  <c r="Y482" i="2"/>
  <c r="AB482" i="2" s="1"/>
  <c r="Y483" i="2"/>
  <c r="AB483" i="2" s="1"/>
  <c r="Y484" i="2"/>
  <c r="AB484" i="2" s="1"/>
  <c r="Y485" i="2"/>
  <c r="AB485" i="2" s="1"/>
  <c r="Y486" i="2"/>
  <c r="AB486" i="2" s="1"/>
  <c r="AC486" i="2" s="1"/>
  <c r="Y487" i="2"/>
  <c r="AB487" i="2" s="1"/>
  <c r="AC487" i="2" s="1"/>
  <c r="Y488" i="2"/>
  <c r="AB488" i="2" s="1"/>
  <c r="Y489" i="2"/>
  <c r="AB489" i="2" s="1"/>
  <c r="Y490" i="2"/>
  <c r="AB490" i="2" s="1"/>
  <c r="Y491" i="2"/>
  <c r="AB491" i="2" s="1"/>
  <c r="Y492" i="2"/>
  <c r="AB492" i="2" s="1"/>
  <c r="Y493" i="2"/>
  <c r="AB493" i="2" s="1"/>
  <c r="Y494" i="2"/>
  <c r="AB494" i="2" s="1"/>
  <c r="Y495" i="2"/>
  <c r="AB495" i="2" s="1"/>
  <c r="Y496" i="2"/>
  <c r="AB496" i="2" s="1"/>
  <c r="Y497" i="2"/>
  <c r="AB497" i="2" s="1"/>
  <c r="AC497" i="2" s="1"/>
  <c r="Y498" i="2"/>
  <c r="AB498" i="2" s="1"/>
  <c r="AC498" i="2" s="1"/>
  <c r="Y499" i="2"/>
  <c r="AB499" i="2" s="1"/>
  <c r="Y500" i="2"/>
  <c r="AB500" i="2" s="1"/>
  <c r="Y501" i="2"/>
  <c r="AB501" i="2" s="1"/>
  <c r="Y502" i="2"/>
  <c r="AB502" i="2" s="1"/>
  <c r="AC502" i="2" s="1"/>
  <c r="Y503" i="2"/>
  <c r="AB503" i="2" s="1"/>
  <c r="Y504" i="2"/>
  <c r="AB504" i="2" s="1"/>
  <c r="Y505" i="2"/>
  <c r="AB505" i="2" s="1"/>
  <c r="Y506" i="2"/>
  <c r="AB506" i="2" s="1"/>
  <c r="AC506" i="2" s="1"/>
  <c r="Y507" i="2"/>
  <c r="AB507" i="2" s="1"/>
  <c r="AC507" i="2" s="1"/>
  <c r="Y508" i="2"/>
  <c r="AB508" i="2" s="1"/>
  <c r="Y509" i="2"/>
  <c r="AB509" i="2" s="1"/>
  <c r="Y510" i="2"/>
  <c r="AB510" i="2" s="1"/>
  <c r="AC510" i="2" s="1"/>
  <c r="Y511" i="2"/>
  <c r="AB511" i="2" s="1"/>
  <c r="Y512" i="2"/>
  <c r="AB512" i="2" s="1"/>
  <c r="Y513" i="2"/>
  <c r="AB513" i="2" s="1"/>
  <c r="Y514" i="2"/>
  <c r="AB514" i="2" s="1"/>
  <c r="Y515" i="2"/>
  <c r="AB515" i="2" s="1"/>
  <c r="Y516" i="2"/>
  <c r="AB516" i="2" s="1"/>
  <c r="Y517" i="2"/>
  <c r="AB517" i="2" s="1"/>
  <c r="Y518" i="2"/>
  <c r="AB518" i="2" s="1"/>
  <c r="Y519" i="2"/>
  <c r="AB519" i="2" s="1"/>
  <c r="AC519" i="2" s="1"/>
  <c r="Y520" i="2"/>
  <c r="AB520" i="2" s="1"/>
  <c r="Y521" i="2"/>
  <c r="AB521" i="2" s="1"/>
  <c r="Y522" i="2"/>
  <c r="AB522" i="2" s="1"/>
  <c r="AC522" i="2" s="1"/>
  <c r="Y523" i="2"/>
  <c r="AB523" i="2" s="1"/>
  <c r="Y524" i="2"/>
  <c r="AB524" i="2" s="1"/>
  <c r="Y525" i="2"/>
  <c r="AB525" i="2" s="1"/>
  <c r="Y526" i="2"/>
  <c r="AB526" i="2" s="1"/>
  <c r="Y527" i="2"/>
  <c r="AB527" i="2" s="1"/>
  <c r="Y528" i="2"/>
  <c r="AB528" i="2" s="1"/>
  <c r="Y529" i="2"/>
  <c r="AB529" i="2" s="1"/>
  <c r="AC529" i="2" s="1"/>
  <c r="Y530" i="2"/>
  <c r="AB530" i="2" s="1"/>
  <c r="AC530" i="2" s="1"/>
  <c r="Y531" i="2"/>
  <c r="AB531" i="2" s="1"/>
  <c r="Y532" i="2"/>
  <c r="AB532" i="2" s="1"/>
  <c r="Y533" i="2"/>
  <c r="AB533" i="2" s="1"/>
  <c r="Y534" i="2"/>
  <c r="AB534" i="2" s="1"/>
  <c r="AC534" i="2" s="1"/>
  <c r="Y535" i="2"/>
  <c r="AB535" i="2" s="1"/>
  <c r="Y536" i="2"/>
  <c r="AB536" i="2" s="1"/>
  <c r="Y537" i="2"/>
  <c r="AB537" i="2" s="1"/>
  <c r="Y538" i="2"/>
  <c r="AB538" i="2" s="1"/>
  <c r="Y539" i="2"/>
  <c r="AB539" i="2" s="1"/>
  <c r="AC539" i="2" s="1"/>
  <c r="Y540" i="2"/>
  <c r="AB540" i="2" s="1"/>
  <c r="Y541" i="2"/>
  <c r="AB541" i="2" s="1"/>
  <c r="Y542" i="2"/>
  <c r="AB542" i="2" s="1"/>
  <c r="AC542" i="2" s="1"/>
  <c r="Y543" i="2"/>
  <c r="AB543" i="2" s="1"/>
  <c r="Y544" i="2"/>
  <c r="AB544" i="2" s="1"/>
  <c r="Y545" i="2"/>
  <c r="AB545" i="2" s="1"/>
  <c r="Y546" i="2"/>
  <c r="AB546" i="2" s="1"/>
  <c r="Y547" i="2"/>
  <c r="AB547" i="2" s="1"/>
  <c r="Y548" i="2"/>
  <c r="AB548" i="2" s="1"/>
  <c r="Y549" i="2"/>
  <c r="AB549" i="2" s="1"/>
  <c r="Y550" i="2"/>
  <c r="AB550" i="2" s="1"/>
  <c r="AC550" i="2" s="1"/>
  <c r="Y551" i="2"/>
  <c r="AB551" i="2" s="1"/>
  <c r="AC551" i="2" s="1"/>
  <c r="Y552" i="2"/>
  <c r="AB552" i="2" s="1"/>
  <c r="Y553" i="2"/>
  <c r="AB553" i="2" s="1"/>
  <c r="Y554" i="2"/>
  <c r="AB554" i="2" s="1"/>
  <c r="Y555" i="2"/>
  <c r="AB555" i="2" s="1"/>
  <c r="Y556" i="2"/>
  <c r="AB556" i="2" s="1"/>
  <c r="Y557" i="2"/>
  <c r="AB557" i="2" s="1"/>
  <c r="Y558" i="2"/>
  <c r="AB558" i="2" s="1"/>
  <c r="Y559" i="2"/>
  <c r="AB559" i="2" s="1"/>
  <c r="Y560" i="2"/>
  <c r="AB560" i="2" s="1"/>
  <c r="Y561" i="2"/>
  <c r="AB561" i="2" s="1"/>
  <c r="AC561" i="2" s="1"/>
  <c r="Y562" i="2"/>
  <c r="AB562" i="2" s="1"/>
  <c r="AC562" i="2" s="1"/>
  <c r="Y563" i="2"/>
  <c r="AB563" i="2" s="1"/>
  <c r="Y564" i="2"/>
  <c r="AB564" i="2" s="1"/>
  <c r="Y565" i="2"/>
  <c r="AB565" i="2" s="1"/>
  <c r="Y566" i="2"/>
  <c r="AB566" i="2" s="1"/>
  <c r="AC566" i="2" s="1"/>
  <c r="Y567" i="2"/>
  <c r="AB567" i="2" s="1"/>
  <c r="Y568" i="2"/>
  <c r="AB568" i="2" s="1"/>
  <c r="Y569" i="2"/>
  <c r="AB569" i="2" s="1"/>
  <c r="Y570" i="2"/>
  <c r="AB570" i="2" s="1"/>
  <c r="AC570" i="2" s="1"/>
  <c r="Y571" i="2"/>
  <c r="AB571" i="2" s="1"/>
  <c r="AC571" i="2" s="1"/>
  <c r="Y572" i="2"/>
  <c r="AB572" i="2" s="1"/>
  <c r="Y573" i="2"/>
  <c r="AB573" i="2" s="1"/>
  <c r="Y574" i="2"/>
  <c r="AB574" i="2" s="1"/>
  <c r="AC574" i="2" s="1"/>
  <c r="Y575" i="2"/>
  <c r="AB575" i="2" s="1"/>
  <c r="Y576" i="2"/>
  <c r="AB576" i="2" s="1"/>
  <c r="Y577" i="2"/>
  <c r="AB577" i="2" s="1"/>
  <c r="Y578" i="2"/>
  <c r="AB578" i="2" s="1"/>
  <c r="Y579" i="2"/>
  <c r="AB579" i="2" s="1"/>
  <c r="Y580" i="2"/>
  <c r="AB580" i="2" s="1"/>
  <c r="Y581" i="2"/>
  <c r="AB581" i="2" s="1"/>
  <c r="Y582" i="2"/>
  <c r="AB582" i="2" s="1"/>
  <c r="AC582" i="2" s="1"/>
  <c r="Y583" i="2"/>
  <c r="AB583" i="2" s="1"/>
  <c r="AC583" i="2" s="1"/>
  <c r="Y584" i="2"/>
  <c r="AB584" i="2" s="1"/>
  <c r="Y585" i="2"/>
  <c r="AB585" i="2" s="1"/>
  <c r="Y586" i="2"/>
  <c r="AB586" i="2" s="1"/>
  <c r="AC586" i="2" s="1"/>
  <c r="Y587" i="2"/>
  <c r="AB587" i="2" s="1"/>
  <c r="Y588" i="2"/>
  <c r="AB588" i="2" s="1"/>
  <c r="Y589" i="2"/>
  <c r="AB589" i="2" s="1"/>
  <c r="Y590" i="2"/>
  <c r="AB590" i="2" s="1"/>
  <c r="Y591" i="2"/>
  <c r="AB591" i="2" s="1"/>
  <c r="Y592" i="2"/>
  <c r="AB592" i="2" s="1"/>
  <c r="Y593" i="2"/>
  <c r="AB593" i="2" s="1"/>
  <c r="AC593" i="2" s="1"/>
  <c r="Y594" i="2"/>
  <c r="AB594" i="2" s="1"/>
  <c r="AC594" i="2" s="1"/>
  <c r="Y595" i="2"/>
  <c r="AB595" i="2" s="1"/>
  <c r="Y596" i="2"/>
  <c r="AB596" i="2" s="1"/>
  <c r="Y597" i="2"/>
  <c r="AB597" i="2" s="1"/>
  <c r="Y598" i="2"/>
  <c r="AB598" i="2" s="1"/>
  <c r="Y599" i="2"/>
  <c r="AB599" i="2" s="1"/>
  <c r="Y600" i="2"/>
  <c r="AB600" i="2" s="1"/>
  <c r="Y601" i="2"/>
  <c r="AB601" i="2" s="1"/>
  <c r="AC601" i="2" s="1"/>
  <c r="Y602" i="2"/>
  <c r="AB602" i="2" s="1"/>
  <c r="AC602" i="2" s="1"/>
  <c r="Y603" i="2"/>
  <c r="AB603" i="2" s="1"/>
  <c r="AC603" i="2" s="1"/>
  <c r="Y604" i="2"/>
  <c r="AB604" i="2" s="1"/>
  <c r="Y605" i="2"/>
  <c r="AB605" i="2" s="1"/>
  <c r="Y606" i="2"/>
  <c r="AB606" i="2" s="1"/>
  <c r="AC606" i="2" s="1"/>
  <c r="Y607" i="2"/>
  <c r="AB607" i="2" s="1"/>
  <c r="Y608" i="2"/>
  <c r="AB608" i="2" s="1"/>
  <c r="Y609" i="2"/>
  <c r="AB609" i="2" s="1"/>
  <c r="Y610" i="2"/>
  <c r="AB610" i="2" s="1"/>
  <c r="AC610" i="2" s="1"/>
  <c r="Y611" i="2"/>
  <c r="AB611" i="2" s="1"/>
  <c r="AC611" i="2" s="1"/>
  <c r="Y612" i="2"/>
  <c r="AB612" i="2" s="1"/>
  <c r="Y613" i="2"/>
  <c r="AB613" i="2" s="1"/>
  <c r="AC613" i="2" s="1"/>
  <c r="Y614" i="2"/>
  <c r="AB614" i="2" s="1"/>
  <c r="Y615" i="2"/>
  <c r="AB615" i="2" s="1"/>
  <c r="AC615" i="2" s="1"/>
  <c r="Y616" i="2"/>
  <c r="AB616" i="2" s="1"/>
  <c r="Y617" i="2"/>
  <c r="AB617" i="2" s="1"/>
  <c r="Y618" i="2"/>
  <c r="AB618" i="2" s="1"/>
  <c r="Y619" i="2"/>
  <c r="AB619" i="2" s="1"/>
  <c r="AC619" i="2" s="1"/>
  <c r="Y620" i="2"/>
  <c r="AB620" i="2" s="1"/>
  <c r="Y621" i="2"/>
  <c r="AB621" i="2" s="1"/>
  <c r="Y622" i="2"/>
  <c r="AB622" i="2" s="1"/>
  <c r="AC622" i="2" s="1"/>
  <c r="Y623" i="2"/>
  <c r="AB623" i="2" s="1"/>
  <c r="Y624" i="2"/>
  <c r="AB624" i="2" s="1"/>
  <c r="Y625" i="2"/>
  <c r="AB625" i="2" s="1"/>
  <c r="Y626" i="2"/>
  <c r="AB626" i="2" s="1"/>
  <c r="Y627" i="2"/>
  <c r="AB627" i="2" s="1"/>
  <c r="Y628" i="2"/>
  <c r="AB628" i="2" s="1"/>
  <c r="Y629" i="2"/>
  <c r="AB629" i="2" s="1"/>
  <c r="AC629" i="2" s="1"/>
  <c r="Y630" i="2"/>
  <c r="AB630" i="2" s="1"/>
  <c r="AC630" i="2" s="1"/>
  <c r="Y631" i="2"/>
  <c r="AB631" i="2" s="1"/>
  <c r="AC631" i="2" s="1"/>
  <c r="Y632" i="2"/>
  <c r="AB632" i="2" s="1"/>
  <c r="Y633" i="2"/>
  <c r="AB633" i="2" s="1"/>
  <c r="AC633" i="2" s="1"/>
  <c r="Y634" i="2"/>
  <c r="AB634" i="2" s="1"/>
  <c r="Y635" i="2"/>
  <c r="AB635" i="2" s="1"/>
  <c r="Y636" i="2"/>
  <c r="AB636" i="2" s="1"/>
  <c r="Y637" i="2"/>
  <c r="AB637" i="2" s="1"/>
  <c r="Y638" i="2"/>
  <c r="AB638" i="2" s="1"/>
  <c r="Y639" i="2"/>
  <c r="AB639" i="2" s="1"/>
  <c r="AC639" i="2" s="1"/>
  <c r="Y640" i="2"/>
  <c r="AB640" i="2" s="1"/>
  <c r="Y641" i="2"/>
  <c r="AB641" i="2" s="1"/>
  <c r="Y642" i="2"/>
  <c r="AB642" i="2" s="1"/>
  <c r="AC642" i="2" s="1"/>
  <c r="Y643" i="2"/>
  <c r="AB643" i="2" s="1"/>
  <c r="Y644" i="2"/>
  <c r="AB644" i="2" s="1"/>
  <c r="Y645" i="2"/>
  <c r="AB645" i="2" s="1"/>
  <c r="Y646" i="2"/>
  <c r="AB646" i="2" s="1"/>
  <c r="Y647" i="2"/>
  <c r="AB647" i="2" s="1"/>
  <c r="AC647" i="2" s="1"/>
  <c r="Y648" i="2"/>
  <c r="AB648" i="2" s="1"/>
  <c r="Y649" i="2"/>
  <c r="AB649" i="2" s="1"/>
  <c r="AC649" i="2" s="1"/>
  <c r="Y650" i="2"/>
  <c r="AB650" i="2" s="1"/>
  <c r="Y651" i="2"/>
  <c r="AB651" i="2" s="1"/>
  <c r="AC651" i="2" s="1"/>
  <c r="Y652" i="2"/>
  <c r="AB652" i="2" s="1"/>
  <c r="Y653" i="2"/>
  <c r="AB653" i="2" s="1"/>
  <c r="Y654" i="2"/>
  <c r="AB654" i="2" s="1"/>
  <c r="Y655" i="2"/>
  <c r="AB655" i="2" s="1"/>
  <c r="Y656" i="2"/>
  <c r="AB656" i="2" s="1"/>
  <c r="Y657" i="2"/>
  <c r="AB657" i="2" s="1"/>
  <c r="AC657" i="2" s="1"/>
  <c r="Y658" i="2"/>
  <c r="AB658" i="2" s="1"/>
  <c r="AC658" i="2" s="1"/>
  <c r="Y659" i="2"/>
  <c r="AB659" i="2" s="1"/>
  <c r="Y660" i="2"/>
  <c r="AB660" i="2" s="1"/>
  <c r="Y661" i="2"/>
  <c r="AB661" i="2" s="1"/>
  <c r="Y662" i="2"/>
  <c r="AB662" i="2" s="1"/>
  <c r="Y663" i="2"/>
  <c r="AB663" i="2" s="1"/>
  <c r="Y664" i="2"/>
  <c r="AB664" i="2" s="1"/>
  <c r="Y665" i="2"/>
  <c r="AB665" i="2" s="1"/>
  <c r="AC665" i="2" s="1"/>
  <c r="Y666" i="2"/>
  <c r="AB666" i="2" s="1"/>
  <c r="AC666" i="2" s="1"/>
  <c r="Y667" i="2"/>
  <c r="AB667" i="2" s="1"/>
  <c r="AC667" i="2" s="1"/>
  <c r="Y668" i="2"/>
  <c r="AB668" i="2" s="1"/>
  <c r="Y669" i="2"/>
  <c r="AB669" i="2" s="1"/>
  <c r="Y670" i="2"/>
  <c r="AB670" i="2" s="1"/>
  <c r="Y671" i="2"/>
  <c r="AB671" i="2" s="1"/>
  <c r="Y672" i="2"/>
  <c r="AB672" i="2" s="1"/>
  <c r="Y673" i="2"/>
  <c r="AB673" i="2" s="1"/>
  <c r="Y674" i="2"/>
  <c r="AB674" i="2" s="1"/>
  <c r="AC674" i="2" s="1"/>
  <c r="Y675" i="2"/>
  <c r="AB675" i="2" s="1"/>
  <c r="AC675" i="2" s="1"/>
  <c r="Y676" i="2"/>
  <c r="AB676" i="2" s="1"/>
  <c r="Y677" i="2"/>
  <c r="AB677" i="2" s="1"/>
  <c r="AC677" i="2" s="1"/>
  <c r="Y678" i="2"/>
  <c r="AB678" i="2" s="1"/>
  <c r="Y679" i="2"/>
  <c r="AB679" i="2" s="1"/>
  <c r="AC679" i="2" s="1"/>
  <c r="Y680" i="2"/>
  <c r="AB680" i="2" s="1"/>
  <c r="Y681" i="2"/>
  <c r="AB681" i="2" s="1"/>
  <c r="Y682" i="2"/>
  <c r="AB682" i="2" s="1"/>
  <c r="Y683" i="2"/>
  <c r="AB683" i="2" s="1"/>
  <c r="AC683" i="2" s="1"/>
  <c r="Y684" i="2"/>
  <c r="AB684" i="2" s="1"/>
  <c r="AC684" i="2" s="1"/>
  <c r="Y685" i="2"/>
  <c r="AB685" i="2" s="1"/>
  <c r="Y686" i="2"/>
  <c r="AB686" i="2" s="1"/>
  <c r="Y687" i="2"/>
  <c r="AB687" i="2" s="1"/>
  <c r="AC687" i="2" s="1"/>
  <c r="Y688" i="2"/>
  <c r="AB688" i="2" s="1"/>
  <c r="Y689" i="2"/>
  <c r="AB689" i="2" s="1"/>
  <c r="Y690" i="2"/>
  <c r="AB690" i="2" s="1"/>
  <c r="Y691" i="2"/>
  <c r="AB691" i="2" s="1"/>
  <c r="AC691" i="2" s="1"/>
  <c r="Y692" i="2"/>
  <c r="AB692" i="2" s="1"/>
  <c r="AC692" i="2" s="1"/>
  <c r="Y693" i="2"/>
  <c r="AB693" i="2" s="1"/>
  <c r="AC693" i="2" s="1"/>
  <c r="Y694" i="2"/>
  <c r="AB694" i="2" s="1"/>
  <c r="Y695" i="2"/>
  <c r="AB695" i="2" s="1"/>
  <c r="AC695" i="2" s="1"/>
  <c r="Y696" i="2"/>
  <c r="AB696" i="2" s="1"/>
  <c r="Y697" i="2"/>
  <c r="AB697" i="2" s="1"/>
  <c r="Y698" i="2"/>
  <c r="AB698" i="2" s="1"/>
  <c r="Y699" i="2"/>
  <c r="AB699" i="2" s="1"/>
  <c r="AC699" i="2" s="1"/>
  <c r="Y700" i="2"/>
  <c r="AB700" i="2" s="1"/>
  <c r="AC700" i="2" s="1"/>
  <c r="Y701" i="2"/>
  <c r="AB701" i="2" s="1"/>
  <c r="Y702" i="2"/>
  <c r="AB702" i="2" s="1"/>
  <c r="Y703" i="2"/>
  <c r="AB703" i="2" s="1"/>
  <c r="AC703" i="2" s="1"/>
  <c r="Y704" i="2"/>
  <c r="AB704" i="2" s="1"/>
  <c r="Y705" i="2"/>
  <c r="AB705" i="2" s="1"/>
  <c r="Y706" i="2"/>
  <c r="AB706" i="2" s="1"/>
  <c r="Y707" i="2"/>
  <c r="AB707" i="2" s="1"/>
  <c r="AC707" i="2" s="1"/>
  <c r="Y708" i="2"/>
  <c r="AB708" i="2" s="1"/>
  <c r="AC708" i="2" s="1"/>
  <c r="Y709" i="2"/>
  <c r="AB709" i="2" s="1"/>
  <c r="Y710" i="2"/>
  <c r="AB710" i="2" s="1"/>
  <c r="Y711" i="2"/>
  <c r="AB711" i="2" s="1"/>
  <c r="AC711" i="2" s="1"/>
  <c r="Y712" i="2"/>
  <c r="AB712" i="2" s="1"/>
  <c r="Y713" i="2"/>
  <c r="AB713" i="2" s="1"/>
  <c r="Y714" i="2"/>
  <c r="AB714" i="2" s="1"/>
  <c r="Y715" i="2"/>
  <c r="AB715" i="2" s="1"/>
  <c r="AC715" i="2" s="1"/>
  <c r="Y716" i="2"/>
  <c r="AB716" i="2" s="1"/>
  <c r="AC716" i="2" s="1"/>
  <c r="Y717" i="2"/>
  <c r="AB717" i="2" s="1"/>
  <c r="Y718" i="2"/>
  <c r="AB718" i="2" s="1"/>
  <c r="Y719" i="2"/>
  <c r="AB719" i="2" s="1"/>
  <c r="AC719" i="2" s="1"/>
  <c r="Y720" i="2"/>
  <c r="AB720" i="2" s="1"/>
  <c r="Y721" i="2"/>
  <c r="AB721" i="2" s="1"/>
  <c r="Y722" i="2"/>
  <c r="AB722" i="2" s="1"/>
  <c r="Y723" i="2"/>
  <c r="AB723" i="2" s="1"/>
  <c r="AC723" i="2" s="1"/>
  <c r="Y724" i="2"/>
  <c r="AB724" i="2" s="1"/>
  <c r="AC724" i="2" s="1"/>
  <c r="Y725" i="2"/>
  <c r="AB725" i="2" s="1"/>
  <c r="Y726" i="2"/>
  <c r="AB726" i="2" s="1"/>
  <c r="Y727" i="2"/>
  <c r="AB727" i="2" s="1"/>
  <c r="Y728" i="2"/>
  <c r="AB728" i="2" s="1"/>
  <c r="Y729" i="2"/>
  <c r="AB729" i="2" s="1"/>
  <c r="Y730" i="2"/>
  <c r="AB730" i="2" s="1"/>
  <c r="Y731" i="2"/>
  <c r="AB731" i="2" s="1"/>
  <c r="AC731" i="2" s="1"/>
  <c r="Y732" i="2"/>
  <c r="AB732" i="2" s="1"/>
  <c r="AC732" i="2" s="1"/>
  <c r="Y733" i="2"/>
  <c r="AB733" i="2" s="1"/>
  <c r="Y734" i="2"/>
  <c r="AB734" i="2" s="1"/>
  <c r="Y735" i="2"/>
  <c r="AB735" i="2" s="1"/>
  <c r="AC735" i="2" s="1"/>
  <c r="Y736" i="2"/>
  <c r="AB736" i="2" s="1"/>
  <c r="Y737" i="2"/>
  <c r="AB737" i="2" s="1"/>
  <c r="Y738" i="2"/>
  <c r="AB738" i="2" s="1"/>
  <c r="Y739" i="2"/>
  <c r="AB739" i="2" s="1"/>
  <c r="AC739" i="2" s="1"/>
  <c r="Y740" i="2"/>
  <c r="AB740" i="2" s="1"/>
  <c r="AC740" i="2" s="1"/>
  <c r="Y741" i="2"/>
  <c r="AB741" i="2" s="1"/>
  <c r="AC741" i="2" s="1"/>
  <c r="Y742" i="2"/>
  <c r="AB742" i="2" s="1"/>
  <c r="Y743" i="2"/>
  <c r="AB743" i="2" s="1"/>
  <c r="AC743" i="2" s="1"/>
  <c r="Y744" i="2"/>
  <c r="AB744" i="2" s="1"/>
  <c r="Y745" i="2"/>
  <c r="AB745" i="2" s="1"/>
  <c r="Y746" i="2"/>
  <c r="AB746" i="2" s="1"/>
  <c r="Y747" i="2"/>
  <c r="AB747" i="2" s="1"/>
  <c r="AC747" i="2" s="1"/>
  <c r="Y748" i="2"/>
  <c r="AB748" i="2" s="1"/>
  <c r="AC748" i="2" s="1"/>
  <c r="Y749" i="2"/>
  <c r="AB749" i="2" s="1"/>
  <c r="AC749" i="2" s="1"/>
  <c r="Y750" i="2"/>
  <c r="AB750" i="2" s="1"/>
  <c r="Y751" i="2"/>
  <c r="AB751" i="2" s="1"/>
  <c r="AC751" i="2" s="1"/>
  <c r="Y752" i="2"/>
  <c r="AB752" i="2" s="1"/>
  <c r="Y753" i="2"/>
  <c r="AB753" i="2" s="1"/>
  <c r="Y754" i="2"/>
  <c r="AB754" i="2" s="1"/>
  <c r="Y755" i="2"/>
  <c r="AB755" i="2" s="1"/>
  <c r="AC755" i="2" s="1"/>
  <c r="Y756" i="2"/>
  <c r="AB756" i="2" s="1"/>
  <c r="AC756" i="2" s="1"/>
  <c r="Y757" i="2"/>
  <c r="AB757" i="2" s="1"/>
  <c r="AC757" i="2" s="1"/>
  <c r="Y758" i="2"/>
  <c r="AB758" i="2" s="1"/>
  <c r="Y759" i="2"/>
  <c r="AB759" i="2" s="1"/>
  <c r="AC759" i="2" s="1"/>
  <c r="Y760" i="2"/>
  <c r="AB760" i="2" s="1"/>
  <c r="Y761" i="2"/>
  <c r="AB761" i="2" s="1"/>
  <c r="Y762" i="2"/>
  <c r="AB762" i="2" s="1"/>
  <c r="Y763" i="2"/>
  <c r="AB763" i="2" s="1"/>
  <c r="AC763" i="2" s="1"/>
  <c r="Y764" i="2"/>
  <c r="AB764" i="2" s="1"/>
  <c r="AC764" i="2" s="1"/>
  <c r="Y765" i="2"/>
  <c r="AB765" i="2" s="1"/>
  <c r="Y766" i="2"/>
  <c r="AB766" i="2" s="1"/>
  <c r="Y767" i="2"/>
  <c r="AB767" i="2" s="1"/>
  <c r="AC767" i="2" s="1"/>
  <c r="Y768" i="2"/>
  <c r="AB768" i="2" s="1"/>
  <c r="Y769" i="2"/>
  <c r="AB769" i="2" s="1"/>
  <c r="Y770" i="2"/>
  <c r="AB770" i="2" s="1"/>
  <c r="Y771" i="2"/>
  <c r="AB771" i="2" s="1"/>
  <c r="AC771" i="2" s="1"/>
  <c r="Y772" i="2"/>
  <c r="AB772" i="2" s="1"/>
  <c r="AC772" i="2" s="1"/>
  <c r="Y773" i="2"/>
  <c r="AB773" i="2" s="1"/>
  <c r="Y774" i="2"/>
  <c r="AB774" i="2" s="1"/>
  <c r="Y775" i="2"/>
  <c r="AB775" i="2" s="1"/>
  <c r="Y776" i="2"/>
  <c r="AB776" i="2" s="1"/>
  <c r="Y777" i="2"/>
  <c r="AB777" i="2" s="1"/>
  <c r="Y778" i="2"/>
  <c r="AB778" i="2" s="1"/>
  <c r="Y779" i="2"/>
  <c r="AB779" i="2" s="1"/>
  <c r="AC779" i="2" s="1"/>
  <c r="Y780" i="2"/>
  <c r="AB780" i="2" s="1"/>
  <c r="AC780" i="2" s="1"/>
  <c r="Y781" i="2"/>
  <c r="AB781" i="2" s="1"/>
  <c r="Y782" i="2"/>
  <c r="AB782" i="2" s="1"/>
  <c r="Y783" i="2"/>
  <c r="AB783" i="2" s="1"/>
  <c r="AC783" i="2" s="1"/>
  <c r="Y784" i="2"/>
  <c r="AB784" i="2" s="1"/>
  <c r="Y785" i="2"/>
  <c r="AB785" i="2" s="1"/>
  <c r="Y786" i="2"/>
  <c r="AB786" i="2" s="1"/>
  <c r="Y787" i="2"/>
  <c r="AB787" i="2" s="1"/>
  <c r="AC787" i="2" s="1"/>
  <c r="Y788" i="2"/>
  <c r="AB788" i="2" s="1"/>
  <c r="AC788" i="2" s="1"/>
  <c r="Y789" i="2"/>
  <c r="AB789" i="2" s="1"/>
  <c r="Y790" i="2"/>
  <c r="AB790" i="2" s="1"/>
  <c r="Y791" i="2"/>
  <c r="AB791" i="2" s="1"/>
  <c r="AC791" i="2" s="1"/>
  <c r="Y792" i="2"/>
  <c r="AB792" i="2" s="1"/>
  <c r="Y793" i="2"/>
  <c r="AB793" i="2" s="1"/>
  <c r="Y794" i="2"/>
  <c r="AB794" i="2" s="1"/>
  <c r="Y795" i="2"/>
  <c r="AB795" i="2" s="1"/>
  <c r="AC795" i="2" s="1"/>
  <c r="Y796" i="2"/>
  <c r="AB796" i="2" s="1"/>
  <c r="AC796" i="2" s="1"/>
  <c r="Y797" i="2"/>
  <c r="AB797" i="2" s="1"/>
  <c r="Y798" i="2"/>
  <c r="AB798" i="2" s="1"/>
  <c r="Y799" i="2"/>
  <c r="AB799" i="2" s="1"/>
  <c r="AC799" i="2" s="1"/>
  <c r="Y800" i="2"/>
  <c r="AB800" i="2" s="1"/>
  <c r="Y801" i="2"/>
  <c r="AB801" i="2" s="1"/>
  <c r="Y802" i="2"/>
  <c r="AB802" i="2" s="1"/>
  <c r="Y803" i="2"/>
  <c r="AB803" i="2" s="1"/>
  <c r="AC803" i="2" s="1"/>
  <c r="Y804" i="2"/>
  <c r="AB804" i="2" s="1"/>
  <c r="AC804" i="2" s="1"/>
  <c r="Y805" i="2"/>
  <c r="AB805" i="2" s="1"/>
  <c r="AC805" i="2" s="1"/>
  <c r="Y806" i="2"/>
  <c r="AB806" i="2" s="1"/>
  <c r="Y807" i="2"/>
  <c r="AB807" i="2" s="1"/>
  <c r="AC807" i="2" s="1"/>
  <c r="Y808" i="2"/>
  <c r="AB808" i="2" s="1"/>
  <c r="Y809" i="2"/>
  <c r="AB809" i="2" s="1"/>
  <c r="Y810" i="2"/>
  <c r="AB810" i="2" s="1"/>
  <c r="Y811" i="2"/>
  <c r="AB811" i="2" s="1"/>
  <c r="AC811" i="2" s="1"/>
  <c r="Y812" i="2"/>
  <c r="AB812" i="2" s="1"/>
  <c r="AC812" i="2" s="1"/>
  <c r="Y813" i="2"/>
  <c r="AB813" i="2" s="1"/>
  <c r="Y814" i="2"/>
  <c r="AB814" i="2" s="1"/>
  <c r="Y815" i="2"/>
  <c r="AB815" i="2" s="1"/>
  <c r="AC815" i="2" s="1"/>
  <c r="Y816" i="2"/>
  <c r="AB816" i="2" s="1"/>
  <c r="Y817" i="2"/>
  <c r="AB817" i="2" s="1"/>
  <c r="Y818" i="2"/>
  <c r="AB818" i="2" s="1"/>
  <c r="Y819" i="2"/>
  <c r="AB819" i="2" s="1"/>
  <c r="AC819" i="2" s="1"/>
  <c r="Y820" i="2"/>
  <c r="AB820" i="2" s="1"/>
  <c r="AC820" i="2" s="1"/>
  <c r="Y821" i="2"/>
  <c r="AB821" i="2" s="1"/>
  <c r="AC821" i="2" s="1"/>
  <c r="Y822" i="2"/>
  <c r="AB822" i="2" s="1"/>
  <c r="Y823" i="2"/>
  <c r="AB823" i="2" s="1"/>
  <c r="AC823" i="2" s="1"/>
  <c r="Y824" i="2"/>
  <c r="AB824" i="2" s="1"/>
  <c r="Y825" i="2"/>
  <c r="AB825" i="2" s="1"/>
  <c r="Y826" i="2"/>
  <c r="AB826" i="2" s="1"/>
  <c r="Y827" i="2"/>
  <c r="AB827" i="2" s="1"/>
  <c r="AC827" i="2" s="1"/>
  <c r="Y828" i="2"/>
  <c r="AB828" i="2" s="1"/>
  <c r="AC828" i="2" s="1"/>
  <c r="Y829" i="2"/>
  <c r="AB829" i="2" s="1"/>
  <c r="Y830" i="2"/>
  <c r="AB830" i="2" s="1"/>
  <c r="Y831" i="2"/>
  <c r="AB831" i="2" s="1"/>
  <c r="AC831" i="2" s="1"/>
  <c r="Y832" i="2"/>
  <c r="AB832" i="2" s="1"/>
  <c r="Y833" i="2"/>
  <c r="AB833" i="2" s="1"/>
  <c r="Y834" i="2"/>
  <c r="AB834" i="2" s="1"/>
  <c r="Y835" i="2"/>
  <c r="AB835" i="2" s="1"/>
  <c r="AC835" i="2" s="1"/>
  <c r="Y836" i="2"/>
  <c r="AB836" i="2" s="1"/>
  <c r="AC836" i="2" s="1"/>
  <c r="Y837" i="2"/>
  <c r="AB837" i="2" s="1"/>
  <c r="Y838" i="2"/>
  <c r="AB838" i="2" s="1"/>
  <c r="Y839" i="2"/>
  <c r="AB839" i="2" s="1"/>
  <c r="Y840" i="2"/>
  <c r="AB840" i="2" s="1"/>
  <c r="Y841" i="2"/>
  <c r="AB841" i="2" s="1"/>
  <c r="Y842" i="2"/>
  <c r="AB842" i="2" s="1"/>
  <c r="AC842" i="2" s="1"/>
  <c r="Y843" i="2"/>
  <c r="AB843" i="2" s="1"/>
  <c r="AC843" i="2" s="1"/>
  <c r="Y844" i="2"/>
  <c r="AB844" i="2" s="1"/>
  <c r="AC844" i="2" s="1"/>
  <c r="Y845" i="2"/>
  <c r="AB845" i="2" s="1"/>
  <c r="Y846" i="2"/>
  <c r="AB846" i="2" s="1"/>
  <c r="Y847" i="2"/>
  <c r="AB847" i="2" s="1"/>
  <c r="AC847" i="2" s="1"/>
  <c r="Y848" i="2"/>
  <c r="AB848" i="2" s="1"/>
  <c r="Y849" i="2"/>
  <c r="AB849" i="2" s="1"/>
  <c r="Y850" i="2"/>
  <c r="AB850" i="2" s="1"/>
  <c r="AC850" i="2" s="1"/>
  <c r="Y851" i="2"/>
  <c r="AB851" i="2" s="1"/>
  <c r="AC851" i="2" s="1"/>
  <c r="Y852" i="2"/>
  <c r="AB852" i="2" s="1"/>
  <c r="AC852" i="2" s="1"/>
  <c r="Y853" i="2"/>
  <c r="AB853" i="2" s="1"/>
  <c r="Y854" i="2"/>
  <c r="AB854" i="2" s="1"/>
  <c r="Y855" i="2"/>
  <c r="AB855" i="2" s="1"/>
  <c r="AC855" i="2" s="1"/>
  <c r="Y856" i="2"/>
  <c r="AB856" i="2" s="1"/>
  <c r="Y857" i="2"/>
  <c r="AB857" i="2" s="1"/>
  <c r="Y858" i="2"/>
  <c r="AB858" i="2" s="1"/>
  <c r="AC858" i="2" s="1"/>
  <c r="Y859" i="2"/>
  <c r="AB859" i="2" s="1"/>
  <c r="AC859" i="2" s="1"/>
  <c r="Y860" i="2"/>
  <c r="AB860" i="2" s="1"/>
  <c r="AC860" i="2" s="1"/>
  <c r="Y861" i="2"/>
  <c r="AB861" i="2" s="1"/>
  <c r="Y862" i="2"/>
  <c r="AB862" i="2" s="1"/>
  <c r="Y863" i="2"/>
  <c r="AB863" i="2" s="1"/>
  <c r="Y864" i="2"/>
  <c r="AB864" i="2" s="1"/>
  <c r="Y865" i="2"/>
  <c r="AB865" i="2" s="1"/>
  <c r="AC865" i="2" s="1"/>
  <c r="Y866" i="2"/>
  <c r="AB866" i="2" s="1"/>
  <c r="AC866" i="2" s="1"/>
  <c r="Y867" i="2"/>
  <c r="AB867" i="2" s="1"/>
  <c r="AC867" i="2" s="1"/>
  <c r="Y868" i="2"/>
  <c r="AB868" i="2" s="1"/>
  <c r="AC868" i="2" s="1"/>
  <c r="Y869" i="2"/>
  <c r="AB869" i="2" s="1"/>
  <c r="AC869" i="2" s="1"/>
  <c r="Y870" i="2"/>
  <c r="AB870" i="2" s="1"/>
  <c r="Y871" i="2"/>
  <c r="AB871" i="2" s="1"/>
  <c r="AC871" i="2" s="1"/>
  <c r="Y872" i="2"/>
  <c r="AB872" i="2" s="1"/>
  <c r="Y873" i="2"/>
  <c r="AB873" i="2" s="1"/>
  <c r="AC873" i="2" s="1"/>
  <c r="Y874" i="2"/>
  <c r="AB874" i="2" s="1"/>
  <c r="AC874" i="2" s="1"/>
  <c r="Y875" i="2"/>
  <c r="AB875" i="2" s="1"/>
  <c r="AC875" i="2" s="1"/>
  <c r="Y876" i="2"/>
  <c r="AB876" i="2" s="1"/>
  <c r="AC876" i="2" s="1"/>
  <c r="Y877" i="2"/>
  <c r="AB877" i="2" s="1"/>
  <c r="Y878" i="2"/>
  <c r="AB878" i="2" s="1"/>
  <c r="Y879" i="2"/>
  <c r="AB879" i="2" s="1"/>
  <c r="Y880" i="2"/>
  <c r="AB880" i="2" s="1"/>
  <c r="Y881" i="2"/>
  <c r="AB881" i="2" s="1"/>
  <c r="AC881" i="2" s="1"/>
  <c r="Y882" i="2"/>
  <c r="AB882" i="2" s="1"/>
  <c r="AC882" i="2" s="1"/>
  <c r="Y883" i="2"/>
  <c r="AB883" i="2" s="1"/>
  <c r="AC883" i="2" s="1"/>
  <c r="Y884" i="2"/>
  <c r="AB884" i="2" s="1"/>
  <c r="AC884" i="2" s="1"/>
  <c r="Y885" i="2"/>
  <c r="AB885" i="2" s="1"/>
  <c r="Y886" i="2"/>
  <c r="AB886" i="2" s="1"/>
  <c r="Y887" i="2"/>
  <c r="AB887" i="2" s="1"/>
  <c r="AC887" i="2" s="1"/>
  <c r="Y888" i="2"/>
  <c r="AB888" i="2" s="1"/>
  <c r="Y889" i="2"/>
  <c r="AB889" i="2" s="1"/>
  <c r="AC889" i="2" s="1"/>
  <c r="Y890" i="2"/>
  <c r="AB890" i="2" s="1"/>
  <c r="AC890" i="2" s="1"/>
  <c r="Y891" i="2"/>
  <c r="AB891" i="2" s="1"/>
  <c r="AC891" i="2" s="1"/>
  <c r="Y892" i="2"/>
  <c r="AB892" i="2" s="1"/>
  <c r="AC892" i="2" s="1"/>
  <c r="Y893" i="2"/>
  <c r="AB893" i="2" s="1"/>
  <c r="Y894" i="2"/>
  <c r="AB894" i="2" s="1"/>
  <c r="Y895" i="2"/>
  <c r="AB895" i="2" s="1"/>
  <c r="AC895" i="2" s="1"/>
  <c r="Y896" i="2"/>
  <c r="AB896" i="2" s="1"/>
  <c r="Y897" i="2"/>
  <c r="AB897" i="2" s="1"/>
  <c r="AC897" i="2" s="1"/>
  <c r="Y898" i="2"/>
  <c r="AB898" i="2" s="1"/>
  <c r="AC898" i="2" s="1"/>
  <c r="Y899" i="2"/>
  <c r="AB899" i="2" s="1"/>
  <c r="AC899" i="2" s="1"/>
  <c r="Y900" i="2"/>
  <c r="AB900" i="2" s="1"/>
  <c r="Y901" i="2"/>
  <c r="AB901" i="2" s="1"/>
  <c r="Y902" i="2"/>
  <c r="AB902" i="2" s="1"/>
  <c r="Y903" i="2"/>
  <c r="AB903" i="2" s="1"/>
  <c r="AC903" i="2" s="1"/>
  <c r="Y904" i="2"/>
  <c r="AB904" i="2" s="1"/>
  <c r="Y905" i="2"/>
  <c r="AB905" i="2" s="1"/>
  <c r="AC905" i="2" s="1"/>
  <c r="Y906" i="2"/>
  <c r="AB906" i="2" s="1"/>
  <c r="AC906" i="2" s="1"/>
  <c r="Y907" i="2"/>
  <c r="AB907" i="2" s="1"/>
  <c r="AC907" i="2" s="1"/>
  <c r="Y908" i="2"/>
  <c r="AB908" i="2" s="1"/>
  <c r="Y909" i="2"/>
  <c r="AB909" i="2" s="1"/>
  <c r="Y910" i="2"/>
  <c r="AB910" i="2" s="1"/>
  <c r="Y911" i="2"/>
  <c r="AB911" i="2" s="1"/>
  <c r="AC911" i="2" s="1"/>
  <c r="Y912" i="2"/>
  <c r="AB912" i="2" s="1"/>
  <c r="Y913" i="2"/>
  <c r="AB913" i="2" s="1"/>
  <c r="AC913" i="2" s="1"/>
  <c r="Y2" i="2"/>
  <c r="AB2" i="2" s="1"/>
  <c r="AC2" i="2" s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C17" i="2" s="1"/>
  <c r="AB18" i="2"/>
  <c r="AB19" i="2"/>
  <c r="AB20" i="2"/>
  <c r="AB21" i="2"/>
  <c r="AB22" i="2"/>
  <c r="AB23" i="2"/>
  <c r="AC23" i="2" s="1"/>
  <c r="AB24" i="2"/>
  <c r="AB25" i="2"/>
  <c r="AB26" i="2"/>
  <c r="AB27" i="2"/>
  <c r="AB28" i="2"/>
  <c r="AB29" i="2"/>
  <c r="AB30" i="2"/>
  <c r="AB31" i="2"/>
  <c r="AB32" i="2"/>
  <c r="AB37" i="2"/>
  <c r="AB24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2" i="2"/>
  <c r="V20" i="2"/>
  <c r="V64" i="2"/>
  <c r="V178" i="2"/>
  <c r="V206" i="2"/>
  <c r="V209" i="2"/>
  <c r="V212" i="2"/>
  <c r="V269" i="2"/>
  <c r="V279" i="2"/>
  <c r="V348" i="2"/>
  <c r="V397" i="2"/>
  <c r="V426" i="2"/>
  <c r="V427" i="2"/>
  <c r="V576" i="2"/>
  <c r="V737" i="2"/>
  <c r="V771" i="2"/>
  <c r="V809" i="2"/>
  <c r="V819" i="2"/>
  <c r="V837" i="2"/>
  <c r="A2" i="2" l="1"/>
  <c r="AF2" i="2"/>
  <c r="A837" i="2"/>
  <c r="A829" i="2"/>
  <c r="A821" i="2"/>
  <c r="A773" i="2"/>
  <c r="A765" i="2"/>
  <c r="A733" i="2"/>
  <c r="A717" i="2"/>
  <c r="A677" i="2"/>
  <c r="A645" i="2"/>
  <c r="A637" i="2"/>
  <c r="A629" i="2"/>
  <c r="A621" i="2"/>
  <c r="A613" i="2"/>
  <c r="A605" i="2"/>
  <c r="A597" i="2"/>
  <c r="A589" i="2"/>
  <c r="A581" i="2"/>
  <c r="A573" i="2"/>
  <c r="A565" i="2"/>
  <c r="A557" i="2"/>
  <c r="A549" i="2"/>
  <c r="A541" i="2"/>
  <c r="A533" i="2"/>
  <c r="A525" i="2"/>
  <c r="A517" i="2"/>
  <c r="A509" i="2"/>
  <c r="A501" i="2"/>
  <c r="A493" i="2"/>
  <c r="A485" i="2"/>
  <c r="A477" i="2"/>
  <c r="A469" i="2"/>
  <c r="A461" i="2"/>
  <c r="A453" i="2"/>
  <c r="A445" i="2"/>
  <c r="A437" i="2"/>
  <c r="A429" i="2"/>
  <c r="A421" i="2"/>
  <c r="A413" i="2"/>
  <c r="A405" i="2"/>
  <c r="A397" i="2"/>
  <c r="A389" i="2"/>
  <c r="A381" i="2"/>
  <c r="A373" i="2"/>
  <c r="A365" i="2"/>
  <c r="A357" i="2"/>
  <c r="A349" i="2"/>
  <c r="A341" i="2"/>
  <c r="A333" i="2"/>
  <c r="A325" i="2"/>
  <c r="A317" i="2"/>
  <c r="A309" i="2"/>
  <c r="A301" i="2"/>
  <c r="A293" i="2"/>
  <c r="A285" i="2"/>
  <c r="A277" i="2"/>
  <c r="A269" i="2"/>
  <c r="A261" i="2"/>
  <c r="A253" i="2"/>
  <c r="A245" i="2"/>
  <c r="A237" i="2"/>
  <c r="A229" i="2"/>
  <c r="A221" i="2"/>
  <c r="A213" i="2"/>
  <c r="A205" i="2"/>
  <c r="A197" i="2"/>
  <c r="A189" i="2"/>
  <c r="A181" i="2"/>
  <c r="A173" i="2"/>
  <c r="A165" i="2"/>
  <c r="A157" i="2"/>
  <c r="A149" i="2"/>
  <c r="A141" i="2"/>
  <c r="A133" i="2"/>
  <c r="A125" i="2"/>
  <c r="A117" i="2"/>
  <c r="A109" i="2"/>
  <c r="A101" i="2"/>
  <c r="A93" i="2"/>
  <c r="A85" i="2"/>
  <c r="A77" i="2"/>
  <c r="A69" i="2"/>
  <c r="A61" i="2"/>
  <c r="A53" i="2"/>
  <c r="A45" i="2"/>
  <c r="A37" i="2"/>
  <c r="A29" i="2"/>
  <c r="A21" i="2"/>
  <c r="A13" i="2"/>
  <c r="A5" i="2"/>
  <c r="AC774" i="2"/>
  <c r="AF774" i="2"/>
  <c r="AC839" i="2"/>
  <c r="AF839" i="2"/>
  <c r="AC775" i="2"/>
  <c r="AF775" i="2"/>
  <c r="AC733" i="2"/>
  <c r="AF733" i="2"/>
  <c r="AC678" i="2"/>
  <c r="AF678" i="2"/>
  <c r="AC623" i="2"/>
  <c r="AF623" i="2"/>
  <c r="AC557" i="2"/>
  <c r="AF557" i="2"/>
  <c r="AC517" i="2"/>
  <c r="AF517" i="2"/>
  <c r="AC461" i="2"/>
  <c r="AF461" i="2"/>
  <c r="AC405" i="2"/>
  <c r="AF405" i="2"/>
  <c r="AC357" i="2"/>
  <c r="AF357" i="2"/>
  <c r="AC837" i="2"/>
  <c r="AF837" i="2"/>
  <c r="AC727" i="2"/>
  <c r="AF727" i="2"/>
  <c r="AC669" i="2"/>
  <c r="AF669" i="2"/>
  <c r="AC621" i="2"/>
  <c r="AF621" i="2"/>
  <c r="AC554" i="2"/>
  <c r="AF554" i="2"/>
  <c r="AC509" i="2"/>
  <c r="AF509" i="2"/>
  <c r="AC453" i="2"/>
  <c r="AF453" i="2"/>
  <c r="AC449" i="2"/>
  <c r="AF449" i="2"/>
  <c r="AC901" i="2"/>
  <c r="AF901" i="2"/>
  <c r="AC829" i="2"/>
  <c r="AF829" i="2"/>
  <c r="AC725" i="2"/>
  <c r="AF725" i="2"/>
  <c r="AC336" i="2"/>
  <c r="AF336" i="2"/>
  <c r="AC320" i="2"/>
  <c r="AF320" i="2"/>
  <c r="AC304" i="2"/>
  <c r="AF304" i="2"/>
  <c r="AC280" i="2"/>
  <c r="AF280" i="2"/>
  <c r="AC264" i="2"/>
  <c r="AF264" i="2"/>
  <c r="AC248" i="2"/>
  <c r="AF248" i="2"/>
  <c r="AC232" i="2"/>
  <c r="AF232" i="2"/>
  <c r="AC216" i="2"/>
  <c r="AF216" i="2"/>
  <c r="AC200" i="2"/>
  <c r="AF200" i="2"/>
  <c r="AC184" i="2"/>
  <c r="AF184" i="2"/>
  <c r="AC176" i="2"/>
  <c r="AF176" i="2"/>
  <c r="AC160" i="2"/>
  <c r="AF160" i="2"/>
  <c r="AC144" i="2"/>
  <c r="AF144" i="2"/>
  <c r="AC128" i="2"/>
  <c r="AF128" i="2"/>
  <c r="AC120" i="2"/>
  <c r="AF120" i="2"/>
  <c r="AC104" i="2"/>
  <c r="AF104" i="2"/>
  <c r="AC88" i="2"/>
  <c r="AF88" i="2"/>
  <c r="AC72" i="2"/>
  <c r="AF72" i="2"/>
  <c r="AC56" i="2"/>
  <c r="AF56" i="2"/>
  <c r="AC40" i="2"/>
  <c r="AF40" i="2"/>
  <c r="AC24" i="2"/>
  <c r="AF24" i="2"/>
  <c r="AC8" i="2"/>
  <c r="AF8" i="2"/>
  <c r="AC904" i="2"/>
  <c r="AF904" i="2"/>
  <c r="AC888" i="2"/>
  <c r="AF888" i="2"/>
  <c r="AC872" i="2"/>
  <c r="AF872" i="2"/>
  <c r="AC864" i="2"/>
  <c r="AF864" i="2"/>
  <c r="AC848" i="2"/>
  <c r="AF848" i="2"/>
  <c r="AC832" i="2"/>
  <c r="AF832" i="2"/>
  <c r="AC816" i="2"/>
  <c r="AF816" i="2"/>
  <c r="AC800" i="2"/>
  <c r="AF800" i="2"/>
  <c r="AC784" i="2"/>
  <c r="AF784" i="2"/>
  <c r="AC768" i="2"/>
  <c r="AF768" i="2"/>
  <c r="AC752" i="2"/>
  <c r="AF752" i="2"/>
  <c r="AC744" i="2"/>
  <c r="AF744" i="2"/>
  <c r="AC736" i="2"/>
  <c r="AF736" i="2"/>
  <c r="AC728" i="2"/>
  <c r="AF728" i="2"/>
  <c r="AC720" i="2"/>
  <c r="AF720" i="2"/>
  <c r="AC712" i="2"/>
  <c r="AF712" i="2"/>
  <c r="AC704" i="2"/>
  <c r="AF704" i="2"/>
  <c r="AC688" i="2"/>
  <c r="AF688" i="2"/>
  <c r="AC680" i="2"/>
  <c r="AF680" i="2"/>
  <c r="AC672" i="2"/>
  <c r="AF672" i="2"/>
  <c r="AC664" i="2"/>
  <c r="AF664" i="2"/>
  <c r="AC656" i="2"/>
  <c r="AF656" i="2"/>
  <c r="AC648" i="2"/>
  <c r="AF648" i="2"/>
  <c r="AC640" i="2"/>
  <c r="AF640" i="2"/>
  <c r="AC632" i="2"/>
  <c r="AF632" i="2"/>
  <c r="AC624" i="2"/>
  <c r="AF624" i="2"/>
  <c r="AC616" i="2"/>
  <c r="AF616" i="2"/>
  <c r="AC608" i="2"/>
  <c r="AF608" i="2"/>
  <c r="AC600" i="2"/>
  <c r="AF600" i="2"/>
  <c r="AC592" i="2"/>
  <c r="AF592" i="2"/>
  <c r="AC584" i="2"/>
  <c r="AF584" i="2"/>
  <c r="AC576" i="2"/>
  <c r="AF576" i="2"/>
  <c r="AC568" i="2"/>
  <c r="AF568" i="2"/>
  <c r="AC560" i="2"/>
  <c r="AF560" i="2"/>
  <c r="AC552" i="2"/>
  <c r="AF552" i="2"/>
  <c r="AC544" i="2"/>
  <c r="AF544" i="2"/>
  <c r="AC536" i="2"/>
  <c r="AF536" i="2"/>
  <c r="AC528" i="2"/>
  <c r="AF528" i="2"/>
  <c r="AC520" i="2"/>
  <c r="AF520" i="2"/>
  <c r="AC512" i="2"/>
  <c r="AF512" i="2"/>
  <c r="AC504" i="2"/>
  <c r="AF504" i="2"/>
  <c r="AC496" i="2"/>
  <c r="AF496" i="2"/>
  <c r="AC488" i="2"/>
  <c r="AF488" i="2"/>
  <c r="AC773" i="2"/>
  <c r="AF773" i="2"/>
  <c r="AC663" i="2"/>
  <c r="AF663" i="2"/>
  <c r="AC344" i="2"/>
  <c r="AF344" i="2"/>
  <c r="AC312" i="2"/>
  <c r="AF312" i="2"/>
  <c r="AC296" i="2"/>
  <c r="AF296" i="2"/>
  <c r="AC288" i="2"/>
  <c r="AF288" i="2"/>
  <c r="AC272" i="2"/>
  <c r="AF272" i="2"/>
  <c r="AC256" i="2"/>
  <c r="AF256" i="2"/>
  <c r="AC240" i="2"/>
  <c r="AF240" i="2"/>
  <c r="AC224" i="2"/>
  <c r="AF224" i="2"/>
  <c r="AC208" i="2"/>
  <c r="AF208" i="2"/>
  <c r="AC192" i="2"/>
  <c r="AF192" i="2"/>
  <c r="AC168" i="2"/>
  <c r="AF168" i="2"/>
  <c r="AC152" i="2"/>
  <c r="AF152" i="2"/>
  <c r="AC136" i="2"/>
  <c r="AF136" i="2"/>
  <c r="AC112" i="2"/>
  <c r="AF112" i="2"/>
  <c r="AC96" i="2"/>
  <c r="AF96" i="2"/>
  <c r="AC80" i="2"/>
  <c r="AF80" i="2"/>
  <c r="AC64" i="2"/>
  <c r="AF64" i="2"/>
  <c r="AC48" i="2"/>
  <c r="AF48" i="2"/>
  <c r="AC32" i="2"/>
  <c r="AF32" i="2"/>
  <c r="AC16" i="2"/>
  <c r="AF16" i="2"/>
  <c r="AC912" i="2"/>
  <c r="AF912" i="2"/>
  <c r="AC896" i="2"/>
  <c r="AF896" i="2"/>
  <c r="AC880" i="2"/>
  <c r="AF880" i="2"/>
  <c r="AC856" i="2"/>
  <c r="AF856" i="2"/>
  <c r="AC840" i="2"/>
  <c r="AF840" i="2"/>
  <c r="AC824" i="2"/>
  <c r="AF824" i="2"/>
  <c r="AC808" i="2"/>
  <c r="AF808" i="2"/>
  <c r="AC792" i="2"/>
  <c r="AF792" i="2"/>
  <c r="AC776" i="2"/>
  <c r="AF776" i="2"/>
  <c r="AC760" i="2"/>
  <c r="AF760" i="2"/>
  <c r="AC696" i="2"/>
  <c r="AF696" i="2"/>
  <c r="AC893" i="2"/>
  <c r="AF893" i="2"/>
  <c r="AC813" i="2"/>
  <c r="AF813" i="2"/>
  <c r="AC765" i="2"/>
  <c r="AF765" i="2"/>
  <c r="AC717" i="2"/>
  <c r="AF717" i="2"/>
  <c r="AC661" i="2"/>
  <c r="AF661" i="2"/>
  <c r="AC429" i="2"/>
  <c r="AF429" i="2"/>
  <c r="AC397" i="2"/>
  <c r="AF397" i="2"/>
  <c r="AC343" i="2"/>
  <c r="AF343" i="2"/>
  <c r="AC335" i="2"/>
  <c r="AF335" i="2"/>
  <c r="AC327" i="2"/>
  <c r="AF327" i="2"/>
  <c r="AC319" i="2"/>
  <c r="AF319" i="2"/>
  <c r="AC311" i="2"/>
  <c r="AF311" i="2"/>
  <c r="AC303" i="2"/>
  <c r="AF303" i="2"/>
  <c r="AC295" i="2"/>
  <c r="AF295" i="2"/>
  <c r="AC287" i="2"/>
  <c r="AF287" i="2"/>
  <c r="AC279" i="2"/>
  <c r="AF279" i="2"/>
  <c r="AC271" i="2"/>
  <c r="AF271" i="2"/>
  <c r="AC605" i="2"/>
  <c r="AF605" i="2"/>
  <c r="AC810" i="2"/>
  <c r="AF810" i="2"/>
  <c r="AC538" i="2"/>
  <c r="AF538" i="2"/>
  <c r="AC490" i="2"/>
  <c r="AF490" i="2"/>
  <c r="AC342" i="2"/>
  <c r="AF342" i="2"/>
  <c r="AC334" i="2"/>
  <c r="AF334" i="2"/>
  <c r="AC310" i="2"/>
  <c r="AF310" i="2"/>
  <c r="AC286" i="2"/>
  <c r="AF286" i="2"/>
  <c r="AC262" i="2"/>
  <c r="AF262" i="2"/>
  <c r="AC238" i="2"/>
  <c r="AF238" i="2"/>
  <c r="AC214" i="2"/>
  <c r="AF214" i="2"/>
  <c r="AC190" i="2"/>
  <c r="AF190" i="2"/>
  <c r="AC166" i="2"/>
  <c r="AF166" i="2"/>
  <c r="AC142" i="2"/>
  <c r="AF142" i="2"/>
  <c r="AC102" i="2"/>
  <c r="AF102" i="2"/>
  <c r="AC54" i="2"/>
  <c r="AF54" i="2"/>
  <c r="AC910" i="2"/>
  <c r="AF910" i="2"/>
  <c r="AC878" i="2"/>
  <c r="AF878" i="2"/>
  <c r="AC838" i="2"/>
  <c r="AF838" i="2"/>
  <c r="AC814" i="2"/>
  <c r="AF814" i="2"/>
  <c r="AC790" i="2"/>
  <c r="AF790" i="2"/>
  <c r="AC782" i="2"/>
  <c r="AF782" i="2"/>
  <c r="AC766" i="2"/>
  <c r="AF766" i="2"/>
  <c r="AC758" i="2"/>
  <c r="AF758" i="2"/>
  <c r="AC734" i="2"/>
  <c r="AF734" i="2"/>
  <c r="AC726" i="2"/>
  <c r="AF726" i="2"/>
  <c r="AC718" i="2"/>
  <c r="AF718" i="2"/>
  <c r="AC710" i="2"/>
  <c r="AF710" i="2"/>
  <c r="AC702" i="2"/>
  <c r="AF702" i="2"/>
  <c r="AC694" i="2"/>
  <c r="AF694" i="2"/>
  <c r="AC686" i="2"/>
  <c r="AF686" i="2"/>
  <c r="AC670" i="2"/>
  <c r="AF670" i="2"/>
  <c r="AC662" i="2"/>
  <c r="AF662" i="2"/>
  <c r="AC654" i="2"/>
  <c r="AF654" i="2"/>
  <c r="AC646" i="2"/>
  <c r="AF646" i="2"/>
  <c r="AC638" i="2"/>
  <c r="AF638" i="2"/>
  <c r="AC328" i="2"/>
  <c r="AF328" i="2"/>
  <c r="AC762" i="2"/>
  <c r="AF762" i="2"/>
  <c r="AC426" i="2"/>
  <c r="AF426" i="2"/>
  <c r="AC326" i="2"/>
  <c r="AF326" i="2"/>
  <c r="AC302" i="2"/>
  <c r="AF302" i="2"/>
  <c r="AC270" i="2"/>
  <c r="AF270" i="2"/>
  <c r="AC246" i="2"/>
  <c r="AF246" i="2"/>
  <c r="AC222" i="2"/>
  <c r="AF222" i="2"/>
  <c r="AC198" i="2"/>
  <c r="AF198" i="2"/>
  <c r="AC182" i="2"/>
  <c r="AF182" i="2"/>
  <c r="AC150" i="2"/>
  <c r="AF150" i="2"/>
  <c r="AC134" i="2"/>
  <c r="AF134" i="2"/>
  <c r="AC118" i="2"/>
  <c r="AF118" i="2"/>
  <c r="AC94" i="2"/>
  <c r="AF94" i="2"/>
  <c r="AC78" i="2"/>
  <c r="AF78" i="2"/>
  <c r="AC62" i="2"/>
  <c r="AF62" i="2"/>
  <c r="AC38" i="2"/>
  <c r="AF38" i="2"/>
  <c r="AC22" i="2"/>
  <c r="AF22" i="2"/>
  <c r="AC6" i="2"/>
  <c r="AF6" i="2"/>
  <c r="AC894" i="2"/>
  <c r="AF894" i="2"/>
  <c r="AC870" i="2"/>
  <c r="AF870" i="2"/>
  <c r="AC854" i="2"/>
  <c r="AF854" i="2"/>
  <c r="AC822" i="2"/>
  <c r="AF822" i="2"/>
  <c r="AC806" i="2"/>
  <c r="AF806" i="2"/>
  <c r="AC742" i="2"/>
  <c r="AF742" i="2"/>
  <c r="AC877" i="2"/>
  <c r="AF877" i="2"/>
  <c r="AC797" i="2"/>
  <c r="AF797" i="2"/>
  <c r="AC645" i="2"/>
  <c r="AF645" i="2"/>
  <c r="AC581" i="2"/>
  <c r="AF581" i="2"/>
  <c r="AC533" i="2"/>
  <c r="AF533" i="2"/>
  <c r="AC479" i="2"/>
  <c r="AF479" i="2"/>
  <c r="AC424" i="2"/>
  <c r="AF424" i="2"/>
  <c r="AC381" i="2"/>
  <c r="AF381" i="2"/>
  <c r="AC341" i="2"/>
  <c r="AF341" i="2"/>
  <c r="AC333" i="2"/>
  <c r="AF333" i="2"/>
  <c r="AC325" i="2"/>
  <c r="AF325" i="2"/>
  <c r="AC317" i="2"/>
  <c r="AF317" i="2"/>
  <c r="AC309" i="2"/>
  <c r="AF309" i="2"/>
  <c r="AC301" i="2"/>
  <c r="AF301" i="2"/>
  <c r="AC293" i="2"/>
  <c r="AF293" i="2"/>
  <c r="AC285" i="2"/>
  <c r="AF285" i="2"/>
  <c r="AC277" i="2"/>
  <c r="AF277" i="2"/>
  <c r="AC269" i="2"/>
  <c r="AF269" i="2"/>
  <c r="AC261" i="2"/>
  <c r="AF261" i="2"/>
  <c r="AC253" i="2"/>
  <c r="AF253" i="2"/>
  <c r="AC245" i="2"/>
  <c r="AF245" i="2"/>
  <c r="AC237" i="2"/>
  <c r="AF237" i="2"/>
  <c r="AC229" i="2"/>
  <c r="AF229" i="2"/>
  <c r="AC221" i="2"/>
  <c r="AF221" i="2"/>
  <c r="AC213" i="2"/>
  <c r="AF213" i="2"/>
  <c r="AC205" i="2"/>
  <c r="AF205" i="2"/>
  <c r="AC197" i="2"/>
  <c r="AF197" i="2"/>
  <c r="AC189" i="2"/>
  <c r="AF189" i="2"/>
  <c r="AC181" i="2"/>
  <c r="AF181" i="2"/>
  <c r="AC173" i="2"/>
  <c r="AF173" i="2"/>
  <c r="AC165" i="2"/>
  <c r="AF165" i="2"/>
  <c r="AC157" i="2"/>
  <c r="AF157" i="2"/>
  <c r="AC149" i="2"/>
  <c r="AF149" i="2"/>
  <c r="AC141" i="2"/>
  <c r="AF141" i="2"/>
  <c r="AC133" i="2"/>
  <c r="AF133" i="2"/>
  <c r="AC125" i="2"/>
  <c r="AF125" i="2"/>
  <c r="AC117" i="2"/>
  <c r="AF117" i="2"/>
  <c r="AC109" i="2"/>
  <c r="AF109" i="2"/>
  <c r="AC101" i="2"/>
  <c r="AF101" i="2"/>
  <c r="AC93" i="2"/>
  <c r="AF93" i="2"/>
  <c r="AC85" i="2"/>
  <c r="AF85" i="2"/>
  <c r="AC77" i="2"/>
  <c r="AF77" i="2"/>
  <c r="AC69" i="2"/>
  <c r="AF69" i="2"/>
  <c r="AC61" i="2"/>
  <c r="AF61" i="2"/>
  <c r="AC53" i="2"/>
  <c r="AF53" i="2"/>
  <c r="AC45" i="2"/>
  <c r="AF45" i="2"/>
  <c r="AC37" i="2"/>
  <c r="AF37" i="2"/>
  <c r="AC29" i="2"/>
  <c r="AF29" i="2"/>
  <c r="AC21" i="2"/>
  <c r="AF21" i="2"/>
  <c r="AC13" i="2"/>
  <c r="AF13" i="2"/>
  <c r="AC5" i="2"/>
  <c r="AF5" i="2"/>
  <c r="AC909" i="2"/>
  <c r="AF909" i="2"/>
  <c r="AC885" i="2"/>
  <c r="AF885" i="2"/>
  <c r="AC853" i="2"/>
  <c r="AF853" i="2"/>
  <c r="AC845" i="2"/>
  <c r="AF845" i="2"/>
  <c r="AC789" i="2"/>
  <c r="AF789" i="2"/>
  <c r="AC701" i="2"/>
  <c r="AF701" i="2"/>
  <c r="AC597" i="2"/>
  <c r="AF597" i="2"/>
  <c r="AC349" i="2"/>
  <c r="AF349" i="2"/>
  <c r="AC879" i="2"/>
  <c r="AF879" i="2"/>
  <c r="AC709" i="2"/>
  <c r="AF709" i="2"/>
  <c r="AC589" i="2"/>
  <c r="AF589" i="2"/>
  <c r="AC389" i="2"/>
  <c r="AF389" i="2"/>
  <c r="AC318" i="2"/>
  <c r="AF318" i="2"/>
  <c r="AC294" i="2"/>
  <c r="AF294" i="2"/>
  <c r="AC278" i="2"/>
  <c r="AF278" i="2"/>
  <c r="AC254" i="2"/>
  <c r="AF254" i="2"/>
  <c r="AC230" i="2"/>
  <c r="AF230" i="2"/>
  <c r="AC206" i="2"/>
  <c r="AF206" i="2"/>
  <c r="AC174" i="2"/>
  <c r="AF174" i="2"/>
  <c r="AC158" i="2"/>
  <c r="AF158" i="2"/>
  <c r="AC126" i="2"/>
  <c r="AF126" i="2"/>
  <c r="AC110" i="2"/>
  <c r="AF110" i="2"/>
  <c r="AC86" i="2"/>
  <c r="AF86" i="2"/>
  <c r="AC70" i="2"/>
  <c r="AF70" i="2"/>
  <c r="AC46" i="2"/>
  <c r="AF46" i="2"/>
  <c r="AC30" i="2"/>
  <c r="AF30" i="2"/>
  <c r="AC14" i="2"/>
  <c r="AF14" i="2"/>
  <c r="AC902" i="2"/>
  <c r="AF902" i="2"/>
  <c r="AC886" i="2"/>
  <c r="AF886" i="2"/>
  <c r="AC862" i="2"/>
  <c r="AF862" i="2"/>
  <c r="AC846" i="2"/>
  <c r="AF846" i="2"/>
  <c r="AC830" i="2"/>
  <c r="AF830" i="2"/>
  <c r="AC798" i="2"/>
  <c r="AF798" i="2"/>
  <c r="AC750" i="2"/>
  <c r="AF750" i="2"/>
  <c r="AC863" i="2"/>
  <c r="AF863" i="2"/>
  <c r="AC685" i="2"/>
  <c r="AF685" i="2"/>
  <c r="AC637" i="2"/>
  <c r="AF637" i="2"/>
  <c r="AC575" i="2"/>
  <c r="AF575" i="2"/>
  <c r="AC525" i="2"/>
  <c r="AF525" i="2"/>
  <c r="AC477" i="2"/>
  <c r="AF477" i="2"/>
  <c r="AC422" i="2"/>
  <c r="AF422" i="2"/>
  <c r="AC379" i="2"/>
  <c r="AF379" i="2"/>
  <c r="AC340" i="2"/>
  <c r="AF340" i="2"/>
  <c r="AC332" i="2"/>
  <c r="AF332" i="2"/>
  <c r="AC324" i="2"/>
  <c r="AF324" i="2"/>
  <c r="AC316" i="2"/>
  <c r="AF316" i="2"/>
  <c r="AC308" i="2"/>
  <c r="AF308" i="2"/>
  <c r="AC300" i="2"/>
  <c r="AF300" i="2"/>
  <c r="AC292" i="2"/>
  <c r="AF292" i="2"/>
  <c r="AC284" i="2"/>
  <c r="AF284" i="2"/>
  <c r="AC276" i="2"/>
  <c r="AF276" i="2"/>
  <c r="AC268" i="2"/>
  <c r="AF268" i="2"/>
  <c r="AC260" i="2"/>
  <c r="AF260" i="2"/>
  <c r="AC252" i="2"/>
  <c r="AF252" i="2"/>
  <c r="AC244" i="2"/>
  <c r="AF244" i="2"/>
  <c r="AC236" i="2"/>
  <c r="AF236" i="2"/>
  <c r="AC228" i="2"/>
  <c r="AF228" i="2"/>
  <c r="AC220" i="2"/>
  <c r="AF220" i="2"/>
  <c r="AC212" i="2"/>
  <c r="AF212" i="2"/>
  <c r="AC204" i="2"/>
  <c r="AF204" i="2"/>
  <c r="AC196" i="2"/>
  <c r="AF196" i="2"/>
  <c r="AC188" i="2"/>
  <c r="AF188" i="2"/>
  <c r="AC180" i="2"/>
  <c r="AF180" i="2"/>
  <c r="AC172" i="2"/>
  <c r="AF172" i="2"/>
  <c r="AC164" i="2"/>
  <c r="AF164" i="2"/>
  <c r="AC156" i="2"/>
  <c r="AF156" i="2"/>
  <c r="AC148" i="2"/>
  <c r="AF148" i="2"/>
  <c r="AC140" i="2"/>
  <c r="AF140" i="2"/>
  <c r="AC132" i="2"/>
  <c r="AF132" i="2"/>
  <c r="AC124" i="2"/>
  <c r="AF124" i="2"/>
  <c r="AC116" i="2"/>
  <c r="AF116" i="2"/>
  <c r="AC108" i="2"/>
  <c r="AF108" i="2"/>
  <c r="AC100" i="2"/>
  <c r="AF100" i="2"/>
  <c r="AC92" i="2"/>
  <c r="AF92" i="2"/>
  <c r="AC84" i="2"/>
  <c r="AF84" i="2"/>
  <c r="AC76" i="2"/>
  <c r="AF76" i="2"/>
  <c r="AC68" i="2"/>
  <c r="AF68" i="2"/>
  <c r="AC60" i="2"/>
  <c r="AF60" i="2"/>
  <c r="AC52" i="2"/>
  <c r="AF52" i="2"/>
  <c r="AC44" i="2"/>
  <c r="AF44" i="2"/>
  <c r="AC36" i="2"/>
  <c r="AF36" i="2"/>
  <c r="AC28" i="2"/>
  <c r="AF28" i="2"/>
  <c r="AC20" i="2"/>
  <c r="AF20" i="2"/>
  <c r="AC12" i="2"/>
  <c r="AF12" i="2"/>
  <c r="AC4" i="2"/>
  <c r="AF4" i="2"/>
  <c r="AC908" i="2"/>
  <c r="AF908" i="2"/>
  <c r="AC900" i="2"/>
  <c r="AF900" i="2"/>
  <c r="AC861" i="2"/>
  <c r="AF861" i="2"/>
  <c r="AC781" i="2"/>
  <c r="AF781" i="2"/>
  <c r="AC746" i="2"/>
  <c r="AF746" i="2"/>
  <c r="AC682" i="2"/>
  <c r="AF682" i="2"/>
  <c r="AC627" i="2"/>
  <c r="AF627" i="2"/>
  <c r="AC573" i="2"/>
  <c r="AF573" i="2"/>
  <c r="AC518" i="2"/>
  <c r="AF518" i="2"/>
  <c r="AC469" i="2"/>
  <c r="AF469" i="2"/>
  <c r="AC413" i="2"/>
  <c r="AF413" i="2"/>
  <c r="AC365" i="2"/>
  <c r="AF365" i="2"/>
  <c r="AC339" i="2"/>
  <c r="AF339" i="2"/>
  <c r="AC331" i="2"/>
  <c r="AF331" i="2"/>
  <c r="AC323" i="2"/>
  <c r="AF323" i="2"/>
  <c r="AC315" i="2"/>
  <c r="AF315" i="2"/>
  <c r="AC307" i="2"/>
  <c r="AF307" i="2"/>
  <c r="AC299" i="2"/>
  <c r="AF299" i="2"/>
  <c r="AC291" i="2"/>
  <c r="AF291" i="2"/>
  <c r="AC283" i="2"/>
  <c r="AF283" i="2"/>
  <c r="AC275" i="2"/>
  <c r="AF275" i="2"/>
  <c r="AC267" i="2"/>
  <c r="AF267" i="2"/>
  <c r="AC259" i="2"/>
  <c r="AF259" i="2"/>
  <c r="AC251" i="2"/>
  <c r="AF251" i="2"/>
  <c r="AC565" i="2"/>
  <c r="AF565" i="2"/>
  <c r="AC549" i="2"/>
  <c r="AF549" i="2"/>
  <c r="AC501" i="2"/>
  <c r="AF501" i="2"/>
  <c r="AC485" i="2"/>
  <c r="AF485" i="2"/>
  <c r="AC437" i="2"/>
  <c r="AF437" i="2"/>
  <c r="AC421" i="2"/>
  <c r="AF421" i="2"/>
  <c r="AC373" i="2"/>
  <c r="AF373" i="2"/>
  <c r="AF892" i="2"/>
  <c r="AF883" i="2"/>
  <c r="AF874" i="2"/>
  <c r="AF865" i="2"/>
  <c r="AF844" i="2"/>
  <c r="AF831" i="2"/>
  <c r="AF820" i="2"/>
  <c r="AF795" i="2"/>
  <c r="AF767" i="2"/>
  <c r="AF756" i="2"/>
  <c r="AF731" i="2"/>
  <c r="AF703" i="2"/>
  <c r="AF692" i="2"/>
  <c r="AF675" i="2"/>
  <c r="AF657" i="2"/>
  <c r="AF639" i="2"/>
  <c r="AF602" i="2"/>
  <c r="AF583" i="2"/>
  <c r="AF561" i="2"/>
  <c r="AF539" i="2"/>
  <c r="AF519" i="2"/>
  <c r="AF497" i="2"/>
  <c r="AF475" i="2"/>
  <c r="AF455" i="2"/>
  <c r="AF433" i="2"/>
  <c r="AF411" i="2"/>
  <c r="AF391" i="2"/>
  <c r="AF369" i="2"/>
  <c r="AF347" i="2"/>
  <c r="AF305" i="2"/>
  <c r="AF255" i="2"/>
  <c r="AF177" i="2"/>
  <c r="AF135" i="2"/>
  <c r="AF49" i="2"/>
  <c r="AC676" i="2"/>
  <c r="AF676" i="2"/>
  <c r="AC668" i="2"/>
  <c r="AF668" i="2"/>
  <c r="AC660" i="2"/>
  <c r="AF660" i="2"/>
  <c r="AC652" i="2"/>
  <c r="AF652" i="2"/>
  <c r="AC644" i="2"/>
  <c r="AF644" i="2"/>
  <c r="AC636" i="2"/>
  <c r="AF636" i="2"/>
  <c r="AC628" i="2"/>
  <c r="AF628" i="2"/>
  <c r="AC620" i="2"/>
  <c r="AF620" i="2"/>
  <c r="AC612" i="2"/>
  <c r="AF612" i="2"/>
  <c r="AC604" i="2"/>
  <c r="AF604" i="2"/>
  <c r="AC596" i="2"/>
  <c r="AF596" i="2"/>
  <c r="AC588" i="2"/>
  <c r="AF588" i="2"/>
  <c r="AC580" i="2"/>
  <c r="AF580" i="2"/>
  <c r="AC572" i="2"/>
  <c r="AF572" i="2"/>
  <c r="AC564" i="2"/>
  <c r="AF564" i="2"/>
  <c r="AC556" i="2"/>
  <c r="AF556" i="2"/>
  <c r="AC548" i="2"/>
  <c r="AF548" i="2"/>
  <c r="AC540" i="2"/>
  <c r="AF540" i="2"/>
  <c r="AC532" i="2"/>
  <c r="AF532" i="2"/>
  <c r="AC524" i="2"/>
  <c r="AF524" i="2"/>
  <c r="AC516" i="2"/>
  <c r="AF516" i="2"/>
  <c r="AC508" i="2"/>
  <c r="AF508" i="2"/>
  <c r="AC500" i="2"/>
  <c r="AF500" i="2"/>
  <c r="AC492" i="2"/>
  <c r="AF492" i="2"/>
  <c r="AC484" i="2"/>
  <c r="AF484" i="2"/>
  <c r="AC476" i="2"/>
  <c r="AF476" i="2"/>
  <c r="AC468" i="2"/>
  <c r="AF468" i="2"/>
  <c r="AC460" i="2"/>
  <c r="AF460" i="2"/>
  <c r="AC452" i="2"/>
  <c r="AF452" i="2"/>
  <c r="AC444" i="2"/>
  <c r="AF444" i="2"/>
  <c r="AC436" i="2"/>
  <c r="AF436" i="2"/>
  <c r="AC428" i="2"/>
  <c r="AF428" i="2"/>
  <c r="AC420" i="2"/>
  <c r="AF420" i="2"/>
  <c r="AC412" i="2"/>
  <c r="AF412" i="2"/>
  <c r="AC404" i="2"/>
  <c r="AF404" i="2"/>
  <c r="AC396" i="2"/>
  <c r="AF396" i="2"/>
  <c r="AC388" i="2"/>
  <c r="AF388" i="2"/>
  <c r="AC380" i="2"/>
  <c r="AF380" i="2"/>
  <c r="AC372" i="2"/>
  <c r="AF372" i="2"/>
  <c r="AC364" i="2"/>
  <c r="AF364" i="2"/>
  <c r="AC356" i="2"/>
  <c r="AF356" i="2"/>
  <c r="AC348" i="2"/>
  <c r="AF348" i="2"/>
  <c r="AF891" i="2"/>
  <c r="AF882" i="2"/>
  <c r="AF873" i="2"/>
  <c r="AF843" i="2"/>
  <c r="AF819" i="2"/>
  <c r="AF805" i="2"/>
  <c r="AF791" i="2"/>
  <c r="AF780" i="2"/>
  <c r="AF755" i="2"/>
  <c r="AF741" i="2"/>
  <c r="AF716" i="2"/>
  <c r="AF691" i="2"/>
  <c r="AF674" i="2"/>
  <c r="AF619" i="2"/>
  <c r="AF601" i="2"/>
  <c r="AF582" i="2"/>
  <c r="AF474" i="2"/>
  <c r="AF454" i="2"/>
  <c r="AF432" i="2"/>
  <c r="AF410" i="2"/>
  <c r="AF390" i="2"/>
  <c r="AF368" i="2"/>
  <c r="AF346" i="2"/>
  <c r="AF282" i="2"/>
  <c r="AF215" i="2"/>
  <c r="AF129" i="2"/>
  <c r="AF87" i="2"/>
  <c r="AC235" i="2"/>
  <c r="AF235" i="2"/>
  <c r="AC195" i="2"/>
  <c r="AF195" i="2"/>
  <c r="AC155" i="2"/>
  <c r="AF155" i="2"/>
  <c r="AC115" i="2"/>
  <c r="AF115" i="2"/>
  <c r="AC75" i="2"/>
  <c r="AF75" i="2"/>
  <c r="AC659" i="2"/>
  <c r="AF659" i="2"/>
  <c r="AC643" i="2"/>
  <c r="AF643" i="2"/>
  <c r="AC635" i="2"/>
  <c r="AF635" i="2"/>
  <c r="AC595" i="2"/>
  <c r="AF595" i="2"/>
  <c r="AC587" i="2"/>
  <c r="AF587" i="2"/>
  <c r="AC579" i="2"/>
  <c r="AF579" i="2"/>
  <c r="AC563" i="2"/>
  <c r="AF563" i="2"/>
  <c r="AC555" i="2"/>
  <c r="AF555" i="2"/>
  <c r="AC547" i="2"/>
  <c r="AF547" i="2"/>
  <c r="AC531" i="2"/>
  <c r="AF531" i="2"/>
  <c r="AC523" i="2"/>
  <c r="AF523" i="2"/>
  <c r="AC515" i="2"/>
  <c r="AF515" i="2"/>
  <c r="AC499" i="2"/>
  <c r="AF499" i="2"/>
  <c r="AC491" i="2"/>
  <c r="AF491" i="2"/>
  <c r="AC483" i="2"/>
  <c r="AF483" i="2"/>
  <c r="AC467" i="2"/>
  <c r="AF467" i="2"/>
  <c r="AC459" i="2"/>
  <c r="AF459" i="2"/>
  <c r="AC451" i="2"/>
  <c r="AF451" i="2"/>
  <c r="AC435" i="2"/>
  <c r="AF435" i="2"/>
  <c r="AC427" i="2"/>
  <c r="AF427" i="2"/>
  <c r="AC419" i="2"/>
  <c r="AF419" i="2"/>
  <c r="AC403" i="2"/>
  <c r="AF403" i="2"/>
  <c r="AC395" i="2"/>
  <c r="AF395" i="2"/>
  <c r="AC387" i="2"/>
  <c r="AF387" i="2"/>
  <c r="AC371" i="2"/>
  <c r="AF371" i="2"/>
  <c r="AC363" i="2"/>
  <c r="AF363" i="2"/>
  <c r="AC355" i="2"/>
  <c r="AF355" i="2"/>
  <c r="AF907" i="2"/>
  <c r="AF899" i="2"/>
  <c r="AF890" i="2"/>
  <c r="AF881" i="2"/>
  <c r="AF871" i="2"/>
  <c r="AF852" i="2"/>
  <c r="AF842" i="2"/>
  <c r="AF815" i="2"/>
  <c r="AF804" i="2"/>
  <c r="AF779" i="2"/>
  <c r="AF751" i="2"/>
  <c r="AF740" i="2"/>
  <c r="AF715" i="2"/>
  <c r="AF687" i="2"/>
  <c r="AF651" i="2"/>
  <c r="AF633" i="2"/>
  <c r="AF615" i="2"/>
  <c r="AF534" i="2"/>
  <c r="AF470" i="2"/>
  <c r="AF448" i="2"/>
  <c r="AF406" i="2"/>
  <c r="AF384" i="2"/>
  <c r="AF362" i="2"/>
  <c r="AF298" i="2"/>
  <c r="AF249" i="2"/>
  <c r="AF209" i="2"/>
  <c r="AF167" i="2"/>
  <c r="AF81" i="2"/>
  <c r="AF39" i="2"/>
  <c r="AC243" i="2"/>
  <c r="AF243" i="2"/>
  <c r="AC227" i="2"/>
  <c r="AF227" i="2"/>
  <c r="AC219" i="2"/>
  <c r="AF219" i="2"/>
  <c r="AC211" i="2"/>
  <c r="AF211" i="2"/>
  <c r="AC203" i="2"/>
  <c r="AF203" i="2"/>
  <c r="AC187" i="2"/>
  <c r="AF187" i="2"/>
  <c r="AC179" i="2"/>
  <c r="AF179" i="2"/>
  <c r="AC171" i="2"/>
  <c r="AF171" i="2"/>
  <c r="AC163" i="2"/>
  <c r="AF163" i="2"/>
  <c r="AC147" i="2"/>
  <c r="AF147" i="2"/>
  <c r="AC139" i="2"/>
  <c r="AF139" i="2"/>
  <c r="AC131" i="2"/>
  <c r="AF131" i="2"/>
  <c r="AC123" i="2"/>
  <c r="AF123" i="2"/>
  <c r="AC107" i="2"/>
  <c r="AF107" i="2"/>
  <c r="AC99" i="2"/>
  <c r="AF99" i="2"/>
  <c r="AC91" i="2"/>
  <c r="AF91" i="2"/>
  <c r="AC83" i="2"/>
  <c r="AF83" i="2"/>
  <c r="AC67" i="2"/>
  <c r="AF67" i="2"/>
  <c r="AC59" i="2"/>
  <c r="AF59" i="2"/>
  <c r="AC51" i="2"/>
  <c r="AF51" i="2"/>
  <c r="AC43" i="2"/>
  <c r="AF43" i="2"/>
  <c r="AC35" i="2"/>
  <c r="AF35" i="2"/>
  <c r="AC27" i="2"/>
  <c r="AF27" i="2"/>
  <c r="AC19" i="2"/>
  <c r="AF19" i="2"/>
  <c r="AC11" i="2"/>
  <c r="AF11" i="2"/>
  <c r="AC3" i="2"/>
  <c r="AF3" i="2"/>
  <c r="AC399" i="2"/>
  <c r="AF399" i="2"/>
  <c r="AC322" i="2"/>
  <c r="AF322" i="2"/>
  <c r="AC290" i="2"/>
  <c r="AF290" i="2"/>
  <c r="AC258" i="2"/>
  <c r="AF258" i="2"/>
  <c r="AC250" i="2"/>
  <c r="AF250" i="2"/>
  <c r="AC242" i="2"/>
  <c r="AF242" i="2"/>
  <c r="AC234" i="2"/>
  <c r="AF234" i="2"/>
  <c r="AC226" i="2"/>
  <c r="AF226" i="2"/>
  <c r="AC218" i="2"/>
  <c r="AF218" i="2"/>
  <c r="AC210" i="2"/>
  <c r="AF210" i="2"/>
  <c r="AC202" i="2"/>
  <c r="AF202" i="2"/>
  <c r="AC194" i="2"/>
  <c r="AF194" i="2"/>
  <c r="AC186" i="2"/>
  <c r="AF186" i="2"/>
  <c r="AC178" i="2"/>
  <c r="AF178" i="2"/>
  <c r="AC170" i="2"/>
  <c r="AF170" i="2"/>
  <c r="AC162" i="2"/>
  <c r="AF162" i="2"/>
  <c r="AC154" i="2"/>
  <c r="AF154" i="2"/>
  <c r="AC146" i="2"/>
  <c r="AF146" i="2"/>
  <c r="AC138" i="2"/>
  <c r="AF138" i="2"/>
  <c r="AC130" i="2"/>
  <c r="AF130" i="2"/>
  <c r="AC122" i="2"/>
  <c r="AF122" i="2"/>
  <c r="AC114" i="2"/>
  <c r="AF114" i="2"/>
  <c r="AC106" i="2"/>
  <c r="AF106" i="2"/>
  <c r="AC98" i="2"/>
  <c r="AF98" i="2"/>
  <c r="AC90" i="2"/>
  <c r="AF90" i="2"/>
  <c r="AC82" i="2"/>
  <c r="AF82" i="2"/>
  <c r="AC74" i="2"/>
  <c r="AF74" i="2"/>
  <c r="AC66" i="2"/>
  <c r="AF66" i="2"/>
  <c r="AC58" i="2"/>
  <c r="AF58" i="2"/>
  <c r="AC50" i="2"/>
  <c r="AF50" i="2"/>
  <c r="AC42" i="2"/>
  <c r="AF42" i="2"/>
  <c r="AC34" i="2"/>
  <c r="AF34" i="2"/>
  <c r="AC26" i="2"/>
  <c r="AF26" i="2"/>
  <c r="AC18" i="2"/>
  <c r="AF18" i="2"/>
  <c r="AC10" i="2"/>
  <c r="AF10" i="2"/>
  <c r="AC834" i="2"/>
  <c r="AF834" i="2"/>
  <c r="AC826" i="2"/>
  <c r="AF826" i="2"/>
  <c r="AC818" i="2"/>
  <c r="AF818" i="2"/>
  <c r="AC802" i="2"/>
  <c r="AF802" i="2"/>
  <c r="AC794" i="2"/>
  <c r="AF794" i="2"/>
  <c r="AC786" i="2"/>
  <c r="AF786" i="2"/>
  <c r="AC778" i="2"/>
  <c r="AF778" i="2"/>
  <c r="AC770" i="2"/>
  <c r="AF770" i="2"/>
  <c r="AC754" i="2"/>
  <c r="AF754" i="2"/>
  <c r="AC738" i="2"/>
  <c r="AF738" i="2"/>
  <c r="AC730" i="2"/>
  <c r="AF730" i="2"/>
  <c r="AC722" i="2"/>
  <c r="AF722" i="2"/>
  <c r="AC714" i="2"/>
  <c r="AF714" i="2"/>
  <c r="AC706" i="2"/>
  <c r="AF706" i="2"/>
  <c r="AC698" i="2"/>
  <c r="AF698" i="2"/>
  <c r="AC690" i="2"/>
  <c r="AF690" i="2"/>
  <c r="AC650" i="2"/>
  <c r="AF650" i="2"/>
  <c r="AC634" i="2"/>
  <c r="AF634" i="2"/>
  <c r="AC626" i="2"/>
  <c r="AF626" i="2"/>
  <c r="AC618" i="2"/>
  <c r="AF618" i="2"/>
  <c r="AC578" i="2"/>
  <c r="AF578" i="2"/>
  <c r="AC546" i="2"/>
  <c r="AF546" i="2"/>
  <c r="AC514" i="2"/>
  <c r="AF514" i="2"/>
  <c r="AC482" i="2"/>
  <c r="AF482" i="2"/>
  <c r="AC450" i="2"/>
  <c r="AF450" i="2"/>
  <c r="AC418" i="2"/>
  <c r="AF418" i="2"/>
  <c r="AC386" i="2"/>
  <c r="AF386" i="2"/>
  <c r="AC354" i="2"/>
  <c r="AF354" i="2"/>
  <c r="AF906" i="2"/>
  <c r="AF898" i="2"/>
  <c r="AF889" i="2"/>
  <c r="AF851" i="2"/>
  <c r="AF828" i="2"/>
  <c r="AF803" i="2"/>
  <c r="AF764" i="2"/>
  <c r="AF739" i="2"/>
  <c r="AF711" i="2"/>
  <c r="AF700" i="2"/>
  <c r="AF667" i="2"/>
  <c r="AF649" i="2"/>
  <c r="AF631" i="2"/>
  <c r="AF613" i="2"/>
  <c r="AF594" i="2"/>
  <c r="AF574" i="2"/>
  <c r="AF530" i="2"/>
  <c r="AF510" i="2"/>
  <c r="AF466" i="2"/>
  <c r="AF446" i="2"/>
  <c r="AF402" i="2"/>
  <c r="AF382" i="2"/>
  <c r="AF360" i="2"/>
  <c r="AF338" i="2"/>
  <c r="AF274" i="2"/>
  <c r="AF241" i="2"/>
  <c r="AF161" i="2"/>
  <c r="AF119" i="2"/>
  <c r="AF33" i="2"/>
  <c r="AC697" i="2"/>
  <c r="AF697" i="2"/>
  <c r="AC653" i="2"/>
  <c r="AF653" i="2"/>
  <c r="AC591" i="2"/>
  <c r="AF591" i="2"/>
  <c r="AC541" i="2"/>
  <c r="AF541" i="2"/>
  <c r="AC493" i="2"/>
  <c r="AF493" i="2"/>
  <c r="AC445" i="2"/>
  <c r="AF445" i="2"/>
  <c r="AC398" i="2"/>
  <c r="AF398" i="2"/>
  <c r="AC345" i="2"/>
  <c r="AF345" i="2"/>
  <c r="AC329" i="2"/>
  <c r="AF329" i="2"/>
  <c r="AC321" i="2"/>
  <c r="AF321" i="2"/>
  <c r="AC313" i="2"/>
  <c r="AF313" i="2"/>
  <c r="AC297" i="2"/>
  <c r="AF297" i="2"/>
  <c r="AC289" i="2"/>
  <c r="AF289" i="2"/>
  <c r="AC281" i="2"/>
  <c r="AF281" i="2"/>
  <c r="AC265" i="2"/>
  <c r="AF265" i="2"/>
  <c r="AC257" i="2"/>
  <c r="AF257" i="2"/>
  <c r="AC233" i="2"/>
  <c r="AF233" i="2"/>
  <c r="AC217" i="2"/>
  <c r="AF217" i="2"/>
  <c r="AC201" i="2"/>
  <c r="AF201" i="2"/>
  <c r="AC185" i="2"/>
  <c r="AF185" i="2"/>
  <c r="AC169" i="2"/>
  <c r="AF169" i="2"/>
  <c r="AC153" i="2"/>
  <c r="AF153" i="2"/>
  <c r="AC137" i="2"/>
  <c r="AF137" i="2"/>
  <c r="AC121" i="2"/>
  <c r="AF121" i="2"/>
  <c r="AC105" i="2"/>
  <c r="AF105" i="2"/>
  <c r="AC89" i="2"/>
  <c r="AF89" i="2"/>
  <c r="AC73" i="2"/>
  <c r="AF73" i="2"/>
  <c r="AC57" i="2"/>
  <c r="AF57" i="2"/>
  <c r="AC41" i="2"/>
  <c r="AF41" i="2"/>
  <c r="AC25" i="2"/>
  <c r="AF25" i="2"/>
  <c r="AC9" i="2"/>
  <c r="AF9" i="2"/>
  <c r="AC857" i="2"/>
  <c r="AF857" i="2"/>
  <c r="AC849" i="2"/>
  <c r="AF849" i="2"/>
  <c r="AC841" i="2"/>
  <c r="AF841" i="2"/>
  <c r="AC833" i="2"/>
  <c r="AF833" i="2"/>
  <c r="AC825" i="2"/>
  <c r="AF825" i="2"/>
  <c r="AC817" i="2"/>
  <c r="AF817" i="2"/>
  <c r="AC809" i="2"/>
  <c r="AF809" i="2"/>
  <c r="AC801" i="2"/>
  <c r="AF801" i="2"/>
  <c r="AC793" i="2"/>
  <c r="AF793" i="2"/>
  <c r="AC785" i="2"/>
  <c r="AF785" i="2"/>
  <c r="AC777" i="2"/>
  <c r="AF777" i="2"/>
  <c r="AC769" i="2"/>
  <c r="AF769" i="2"/>
  <c r="AC761" i="2"/>
  <c r="AF761" i="2"/>
  <c r="AC753" i="2"/>
  <c r="AF753" i="2"/>
  <c r="AC745" i="2"/>
  <c r="AF745" i="2"/>
  <c r="AC737" i="2"/>
  <c r="AF737" i="2"/>
  <c r="AC729" i="2"/>
  <c r="AF729" i="2"/>
  <c r="AC721" i="2"/>
  <c r="AF721" i="2"/>
  <c r="AC713" i="2"/>
  <c r="AF713" i="2"/>
  <c r="AC705" i="2"/>
  <c r="AF705" i="2"/>
  <c r="AC689" i="2"/>
  <c r="AF689" i="2"/>
  <c r="AC681" i="2"/>
  <c r="AF681" i="2"/>
  <c r="AC673" i="2"/>
  <c r="AF673" i="2"/>
  <c r="AC641" i="2"/>
  <c r="AF641" i="2"/>
  <c r="AC625" i="2"/>
  <c r="AF625" i="2"/>
  <c r="AC617" i="2"/>
  <c r="AF617" i="2"/>
  <c r="AC609" i="2"/>
  <c r="AF609" i="2"/>
  <c r="AC585" i="2"/>
  <c r="AF585" i="2"/>
  <c r="AC577" i="2"/>
  <c r="AF577" i="2"/>
  <c r="AC569" i="2"/>
  <c r="AF569" i="2"/>
  <c r="AC553" i="2"/>
  <c r="AF553" i="2"/>
  <c r="AC545" i="2"/>
  <c r="AF545" i="2"/>
  <c r="AC537" i="2"/>
  <c r="AF537" i="2"/>
  <c r="AC521" i="2"/>
  <c r="AF521" i="2"/>
  <c r="AC513" i="2"/>
  <c r="AF513" i="2"/>
  <c r="AC505" i="2"/>
  <c r="AF505" i="2"/>
  <c r="AC489" i="2"/>
  <c r="AF489" i="2"/>
  <c r="AC481" i="2"/>
  <c r="AF481" i="2"/>
  <c r="AC473" i="2"/>
  <c r="AF473" i="2"/>
  <c r="AC457" i="2"/>
  <c r="AF457" i="2"/>
  <c r="AC441" i="2"/>
  <c r="AF441" i="2"/>
  <c r="AC425" i="2"/>
  <c r="AF425" i="2"/>
  <c r="AC417" i="2"/>
  <c r="AF417" i="2"/>
  <c r="AC409" i="2"/>
  <c r="AF409" i="2"/>
  <c r="AC393" i="2"/>
  <c r="AF393" i="2"/>
  <c r="AC385" i="2"/>
  <c r="AF385" i="2"/>
  <c r="AC377" i="2"/>
  <c r="AF377" i="2"/>
  <c r="AC361" i="2"/>
  <c r="AF361" i="2"/>
  <c r="AC353" i="2"/>
  <c r="AF353" i="2"/>
  <c r="AF913" i="2"/>
  <c r="AF905" i="2"/>
  <c r="AF897" i="2"/>
  <c r="AF887" i="2"/>
  <c r="AF869" i="2"/>
  <c r="AF860" i="2"/>
  <c r="AF850" i="2"/>
  <c r="AF827" i="2"/>
  <c r="AF799" i="2"/>
  <c r="AF788" i="2"/>
  <c r="AF763" i="2"/>
  <c r="AF749" i="2"/>
  <c r="AF735" i="2"/>
  <c r="AF724" i="2"/>
  <c r="AF699" i="2"/>
  <c r="AF684" i="2"/>
  <c r="AF666" i="2"/>
  <c r="AF630" i="2"/>
  <c r="AF611" i="2"/>
  <c r="AF593" i="2"/>
  <c r="AF571" i="2"/>
  <c r="AF551" i="2"/>
  <c r="AF529" i="2"/>
  <c r="AF507" i="2"/>
  <c r="AF487" i="2"/>
  <c r="AF465" i="2"/>
  <c r="AF443" i="2"/>
  <c r="AF423" i="2"/>
  <c r="AF401" i="2"/>
  <c r="AF359" i="2"/>
  <c r="AF337" i="2"/>
  <c r="AF273" i="2"/>
  <c r="AF239" i="2"/>
  <c r="AF199" i="2"/>
  <c r="AF113" i="2"/>
  <c r="AF71" i="2"/>
  <c r="AC472" i="2"/>
  <c r="AF472" i="2"/>
  <c r="AC440" i="2"/>
  <c r="AF440" i="2"/>
  <c r="AC408" i="2"/>
  <c r="AF408" i="2"/>
  <c r="AC376" i="2"/>
  <c r="AF376" i="2"/>
  <c r="AF895" i="2"/>
  <c r="AF868" i="2"/>
  <c r="AF859" i="2"/>
  <c r="AF847" i="2"/>
  <c r="AF823" i="2"/>
  <c r="AF812" i="2"/>
  <c r="AF787" i="2"/>
  <c r="AF759" i="2"/>
  <c r="AF748" i="2"/>
  <c r="AF723" i="2"/>
  <c r="AF695" i="2"/>
  <c r="AF683" i="2"/>
  <c r="AF665" i="2"/>
  <c r="AF647" i="2"/>
  <c r="AF629" i="2"/>
  <c r="AF610" i="2"/>
  <c r="AF570" i="2"/>
  <c r="AF550" i="2"/>
  <c r="AF506" i="2"/>
  <c r="AF486" i="2"/>
  <c r="AF464" i="2"/>
  <c r="AF442" i="2"/>
  <c r="AF400" i="2"/>
  <c r="AF378" i="2"/>
  <c r="AF358" i="2"/>
  <c r="AF314" i="2"/>
  <c r="AF266" i="2"/>
  <c r="AF193" i="2"/>
  <c r="AF151" i="2"/>
  <c r="AF65" i="2"/>
  <c r="AF23" i="2"/>
  <c r="AC247" i="2"/>
  <c r="AF247" i="2"/>
  <c r="AC231" i="2"/>
  <c r="AF231" i="2"/>
  <c r="AC223" i="2"/>
  <c r="AF223" i="2"/>
  <c r="AC207" i="2"/>
  <c r="AF207" i="2"/>
  <c r="AC191" i="2"/>
  <c r="AF191" i="2"/>
  <c r="AC175" i="2"/>
  <c r="AF175" i="2"/>
  <c r="AC159" i="2"/>
  <c r="AF159" i="2"/>
  <c r="AC143" i="2"/>
  <c r="AF143" i="2"/>
  <c r="AC127" i="2"/>
  <c r="AF127" i="2"/>
  <c r="AC111" i="2"/>
  <c r="AF111" i="2"/>
  <c r="AC95" i="2"/>
  <c r="AF95" i="2"/>
  <c r="AC79" i="2"/>
  <c r="AF79" i="2"/>
  <c r="AC63" i="2"/>
  <c r="AF63" i="2"/>
  <c r="AC47" i="2"/>
  <c r="AF47" i="2"/>
  <c r="AC31" i="2"/>
  <c r="AF31" i="2"/>
  <c r="AC15" i="2"/>
  <c r="AF15" i="2"/>
  <c r="AC7" i="2"/>
  <c r="AF7" i="2"/>
  <c r="AC671" i="2"/>
  <c r="AF671" i="2"/>
  <c r="AC655" i="2"/>
  <c r="AF655" i="2"/>
  <c r="AC607" i="2"/>
  <c r="AF607" i="2"/>
  <c r="AC599" i="2"/>
  <c r="AF599" i="2"/>
  <c r="AC567" i="2"/>
  <c r="AF567" i="2"/>
  <c r="AC559" i="2"/>
  <c r="AF559" i="2"/>
  <c r="AC543" i="2"/>
  <c r="AF543" i="2"/>
  <c r="AC535" i="2"/>
  <c r="AF535" i="2"/>
  <c r="AC527" i="2"/>
  <c r="AF527" i="2"/>
  <c r="AC511" i="2"/>
  <c r="AF511" i="2"/>
  <c r="AC503" i="2"/>
  <c r="AF503" i="2"/>
  <c r="AC495" i="2"/>
  <c r="AF495" i="2"/>
  <c r="AC471" i="2"/>
  <c r="AF471" i="2"/>
  <c r="AC463" i="2"/>
  <c r="AF463" i="2"/>
  <c r="AC447" i="2"/>
  <c r="AF447" i="2"/>
  <c r="AC439" i="2"/>
  <c r="AF439" i="2"/>
  <c r="AC431" i="2"/>
  <c r="AF431" i="2"/>
  <c r="AC415" i="2"/>
  <c r="AF415" i="2"/>
  <c r="AC407" i="2"/>
  <c r="AF407" i="2"/>
  <c r="AC383" i="2"/>
  <c r="AF383" i="2"/>
  <c r="AC375" i="2"/>
  <c r="AF375" i="2"/>
  <c r="AC367" i="2"/>
  <c r="AF367" i="2"/>
  <c r="AC351" i="2"/>
  <c r="AF351" i="2"/>
  <c r="AF911" i="2"/>
  <c r="AF903" i="2"/>
  <c r="AF876" i="2"/>
  <c r="AF867" i="2"/>
  <c r="AF858" i="2"/>
  <c r="AF836" i="2"/>
  <c r="AF811" i="2"/>
  <c r="AF783" i="2"/>
  <c r="AF772" i="2"/>
  <c r="AF747" i="2"/>
  <c r="AF719" i="2"/>
  <c r="AF708" i="2"/>
  <c r="AF679" i="2"/>
  <c r="AF642" i="2"/>
  <c r="AF606" i="2"/>
  <c r="AF586" i="2"/>
  <c r="AF566" i="2"/>
  <c r="AF522" i="2"/>
  <c r="AF502" i="2"/>
  <c r="AF480" i="2"/>
  <c r="AF458" i="2"/>
  <c r="AF438" i="2"/>
  <c r="AF416" i="2"/>
  <c r="AF394" i="2"/>
  <c r="AF374" i="2"/>
  <c r="AF352" i="2"/>
  <c r="AF330" i="2"/>
  <c r="AF145" i="2"/>
  <c r="AF103" i="2"/>
  <c r="AF17" i="2"/>
  <c r="AC614" i="2"/>
  <c r="AF614" i="2"/>
  <c r="AC598" i="2"/>
  <c r="AF598" i="2"/>
  <c r="AC590" i="2"/>
  <c r="AF590" i="2"/>
  <c r="AC558" i="2"/>
  <c r="AF558" i="2"/>
  <c r="AC526" i="2"/>
  <c r="AF526" i="2"/>
  <c r="AC494" i="2"/>
  <c r="AF494" i="2"/>
  <c r="AC462" i="2"/>
  <c r="AF462" i="2"/>
  <c r="AC430" i="2"/>
  <c r="AF430" i="2"/>
  <c r="AC366" i="2"/>
  <c r="AF366" i="2"/>
  <c r="AF884" i="2"/>
  <c r="AF875" i="2"/>
  <c r="AF866" i="2"/>
  <c r="AF855" i="2"/>
  <c r="AF835" i="2"/>
  <c r="AF821" i="2"/>
  <c r="AF807" i="2"/>
  <c r="AF796" i="2"/>
  <c r="AF771" i="2"/>
  <c r="AF757" i="2"/>
  <c r="AF743" i="2"/>
  <c r="AF732" i="2"/>
  <c r="AF707" i="2"/>
  <c r="AF693" i="2"/>
  <c r="AF677" i="2"/>
  <c r="AF658" i="2"/>
  <c r="AF622" i="2"/>
  <c r="AF603" i="2"/>
  <c r="AF562" i="2"/>
  <c r="AF542" i="2"/>
  <c r="AF498" i="2"/>
  <c r="AF478" i="2"/>
  <c r="AF456" i="2"/>
  <c r="AF434" i="2"/>
  <c r="AF414" i="2"/>
  <c r="AF392" i="2"/>
  <c r="AF370" i="2"/>
  <c r="AF350" i="2"/>
  <c r="AF306" i="2"/>
  <c r="AF263" i="2"/>
  <c r="AF225" i="2"/>
  <c r="AF183" i="2"/>
  <c r="AF97" i="2"/>
  <c r="AF55" i="2"/>
  <c r="A908" i="2"/>
  <c r="A812" i="2"/>
  <c r="A748" i="2"/>
  <c r="A724" i="2"/>
  <c r="A716" i="2"/>
  <c r="A708" i="2"/>
  <c r="A700" i="2"/>
  <c r="A692" i="2"/>
  <c r="A684" i="2"/>
  <c r="A676" i="2"/>
  <c r="A668" i="2"/>
  <c r="A660" i="2"/>
  <c r="A652" i="2"/>
  <c r="A644" i="2"/>
  <c r="A636" i="2"/>
  <c r="A628" i="2"/>
  <c r="A620" i="2"/>
  <c r="A612" i="2"/>
  <c r="A604" i="2"/>
  <c r="A596" i="2"/>
  <c r="A588" i="2"/>
  <c r="A580" i="2"/>
  <c r="A572" i="2"/>
  <c r="A564" i="2"/>
  <c r="A556" i="2"/>
  <c r="A548" i="2"/>
  <c r="A540" i="2"/>
  <c r="A532" i="2"/>
  <c r="A524" i="2"/>
  <c r="A516" i="2"/>
  <c r="A508" i="2"/>
  <c r="A500" i="2"/>
  <c r="A492" i="2"/>
  <c r="A484" i="2"/>
  <c r="A476" i="2"/>
  <c r="A468" i="2"/>
  <c r="A460" i="2"/>
  <c r="A452" i="2"/>
  <c r="A444" i="2"/>
  <c r="A436" i="2"/>
  <c r="A428" i="2"/>
  <c r="A420" i="2"/>
  <c r="A412" i="2"/>
  <c r="A404" i="2"/>
  <c r="A396" i="2"/>
  <c r="A388" i="2"/>
  <c r="A380" i="2"/>
  <c r="A372" i="2"/>
  <c r="A364" i="2"/>
  <c r="A356" i="2"/>
  <c r="A348" i="2"/>
  <c r="A340" i="2"/>
  <c r="A332" i="2"/>
  <c r="A324" i="2"/>
  <c r="A316" i="2"/>
  <c r="A308" i="2"/>
  <c r="A300" i="2"/>
  <c r="A292" i="2"/>
  <c r="A284" i="2"/>
  <c r="A276" i="2"/>
  <c r="A268" i="2"/>
  <c r="A260" i="2"/>
  <c r="A252" i="2"/>
  <c r="A244" i="2"/>
  <c r="A236" i="2"/>
  <c r="A228" i="2"/>
  <c r="A220" i="2"/>
  <c r="A212" i="2"/>
  <c r="A204" i="2"/>
  <c r="A196" i="2"/>
  <c r="A188" i="2"/>
  <c r="A180" i="2"/>
  <c r="A172" i="2"/>
  <c r="A164" i="2"/>
  <c r="A156" i="2"/>
  <c r="A148" i="2"/>
  <c r="A140" i="2"/>
  <c r="A132" i="2"/>
  <c r="A124" i="2"/>
  <c r="A737" i="2"/>
  <c r="A713" i="2"/>
  <c r="A601" i="2"/>
  <c r="A585" i="2"/>
  <c r="A569" i="2"/>
  <c r="A553" i="2"/>
  <c r="A521" i="2"/>
  <c r="A881" i="2"/>
  <c r="A809" i="2"/>
  <c r="A705" i="2"/>
  <c r="A593" i="2"/>
  <c r="A577" i="2"/>
  <c r="A561" i="2"/>
  <c r="A545" i="2"/>
  <c r="A537" i="2"/>
  <c r="A529" i="2"/>
  <c r="A513" i="2"/>
  <c r="A895" i="2"/>
  <c r="A879" i="2"/>
  <c r="A711" i="2"/>
  <c r="A663" i="2"/>
  <c r="A655" i="2"/>
  <c r="A647" i="2"/>
  <c r="A639" i="2"/>
  <c r="A631" i="2"/>
  <c r="A623" i="2"/>
  <c r="A615" i="2"/>
  <c r="A607" i="2"/>
  <c r="A599" i="2"/>
  <c r="A591" i="2"/>
  <c r="A583" i="2"/>
  <c r="A575" i="2"/>
  <c r="A567" i="2"/>
  <c r="A559" i="2"/>
  <c r="A551" i="2"/>
  <c r="A543" i="2"/>
  <c r="A535" i="2"/>
  <c r="A527" i="2"/>
  <c r="A519" i="2"/>
  <c r="A511" i="2"/>
  <c r="A503" i="2"/>
  <c r="A495" i="2"/>
  <c r="A487" i="2"/>
  <c r="A479" i="2"/>
  <c r="A471" i="2"/>
  <c r="A463" i="2"/>
  <c r="A455" i="2"/>
  <c r="A447" i="2"/>
  <c r="A439" i="2"/>
  <c r="A431" i="2"/>
  <c r="A423" i="2"/>
  <c r="A415" i="2"/>
  <c r="A407" i="2"/>
  <c r="A399" i="2"/>
  <c r="A391" i="2"/>
  <c r="A383" i="2"/>
  <c r="A375" i="2"/>
  <c r="A367" i="2"/>
  <c r="A359" i="2"/>
  <c r="A351" i="2"/>
  <c r="A343" i="2"/>
  <c r="A335" i="2"/>
  <c r="A327" i="2"/>
  <c r="A319" i="2"/>
  <c r="A311" i="2"/>
  <c r="A303" i="2"/>
  <c r="A295" i="2"/>
  <c r="A287" i="2"/>
  <c r="A279" i="2"/>
  <c r="A271" i="2"/>
  <c r="A263" i="2"/>
  <c r="A255" i="2"/>
  <c r="A247" i="2"/>
  <c r="A239" i="2"/>
  <c r="A231" i="2"/>
  <c r="A223" i="2"/>
  <c r="A215" i="2"/>
  <c r="A207" i="2"/>
  <c r="A199" i="2"/>
  <c r="A191" i="2"/>
  <c r="A183" i="2"/>
  <c r="A175" i="2"/>
  <c r="A167" i="2"/>
  <c r="A159" i="2"/>
  <c r="A151" i="2"/>
  <c r="A143" i="2"/>
  <c r="A135" i="2"/>
  <c r="A127" i="2"/>
  <c r="A119" i="2"/>
  <c r="A111" i="2"/>
  <c r="A103" i="2"/>
  <c r="A95" i="2"/>
  <c r="A87" i="2"/>
  <c r="A79" i="2"/>
  <c r="A71" i="2"/>
  <c r="A63" i="2"/>
  <c r="A55" i="2"/>
  <c r="A47" i="2"/>
  <c r="A39" i="2"/>
  <c r="A31" i="2"/>
  <c r="A23" i="2"/>
  <c r="A15" i="2"/>
  <c r="A7" i="2"/>
  <c r="A505" i="2"/>
  <c r="A497" i="2"/>
  <c r="A489" i="2"/>
  <c r="A481" i="2"/>
  <c r="A473" i="2"/>
  <c r="A465" i="2"/>
  <c r="A457" i="2"/>
  <c r="A449" i="2"/>
  <c r="A441" i="2"/>
  <c r="A433" i="2"/>
  <c r="A425" i="2"/>
  <c r="A417" i="2"/>
  <c r="A409" i="2"/>
  <c r="A401" i="2"/>
  <c r="A393" i="2"/>
  <c r="A385" i="2"/>
  <c r="A377" i="2"/>
  <c r="A369" i="2"/>
  <c r="A361" i="2"/>
  <c r="A353" i="2"/>
  <c r="A345" i="2"/>
  <c r="A337" i="2"/>
  <c r="A329" i="2"/>
  <c r="A321" i="2"/>
  <c r="A313" i="2"/>
  <c r="A305" i="2"/>
  <c r="A297" i="2"/>
  <c r="A289" i="2"/>
  <c r="A281" i="2"/>
  <c r="A273" i="2"/>
  <c r="A265" i="2"/>
  <c r="A257" i="2"/>
  <c r="A249" i="2"/>
  <c r="A241" i="2"/>
  <c r="A233" i="2"/>
  <c r="A225" i="2"/>
  <c r="A217" i="2"/>
  <c r="A209" i="2"/>
  <c r="A201" i="2"/>
  <c r="A193" i="2"/>
  <c r="A185" i="2"/>
  <c r="A177" i="2"/>
  <c r="A169" i="2"/>
  <c r="A161" i="2"/>
  <c r="A153" i="2"/>
  <c r="A145" i="2"/>
  <c r="A137" i="2"/>
  <c r="A129" i="2"/>
  <c r="A121" i="2"/>
  <c r="A113" i="2"/>
  <c r="A105" i="2"/>
  <c r="A97" i="2"/>
  <c r="A89" i="2"/>
  <c r="A81" i="2"/>
  <c r="A73" i="2"/>
  <c r="A65" i="2"/>
  <c r="A57" i="2"/>
  <c r="A49" i="2"/>
  <c r="A41" i="2"/>
  <c r="A33" i="2"/>
  <c r="A25" i="2"/>
  <c r="A17" i="2"/>
  <c r="A9" i="2"/>
  <c r="A886" i="2"/>
  <c r="A854" i="2"/>
  <c r="A846" i="2"/>
  <c r="A838" i="2"/>
  <c r="A830" i="2"/>
  <c r="A822" i="2"/>
  <c r="A814" i="2"/>
  <c r="A806" i="2"/>
  <c r="A798" i="2"/>
  <c r="A790" i="2"/>
  <c r="A782" i="2"/>
  <c r="A774" i="2"/>
  <c r="A766" i="2"/>
  <c r="A758" i="2"/>
  <c r="A750" i="2"/>
  <c r="A742" i="2"/>
  <c r="A734" i="2"/>
  <c r="A726" i="2"/>
  <c r="A718" i="2"/>
  <c r="A710" i="2"/>
  <c r="A702" i="2"/>
  <c r="A694" i="2"/>
  <c r="A686" i="2"/>
  <c r="A678" i="2"/>
  <c r="A670" i="2"/>
  <c r="A662" i="2"/>
  <c r="A654" i="2"/>
  <c r="A646" i="2"/>
  <c r="A638" i="2"/>
  <c r="A630" i="2"/>
  <c r="A622" i="2"/>
  <c r="A614" i="2"/>
  <c r="A606" i="2"/>
  <c r="A598" i="2"/>
  <c r="A590" i="2"/>
  <c r="A582" i="2"/>
  <c r="A574" i="2"/>
  <c r="A566" i="2"/>
  <c r="A558" i="2"/>
  <c r="A550" i="2"/>
  <c r="A542" i="2"/>
  <c r="A898" i="2"/>
  <c r="A834" i="2"/>
  <c r="A826" i="2"/>
  <c r="A818" i="2"/>
  <c r="A810" i="2"/>
  <c r="A802" i="2"/>
  <c r="A794" i="2"/>
  <c r="A786" i="2"/>
  <c r="A778" i="2"/>
  <c r="A770" i="2"/>
  <c r="A762" i="2"/>
  <c r="A754" i="2"/>
  <c r="A746" i="2"/>
  <c r="A738" i="2"/>
  <c r="A730" i="2"/>
  <c r="A722" i="2"/>
  <c r="A714" i="2"/>
  <c r="A706" i="2"/>
  <c r="A698" i="2"/>
  <c r="A690" i="2"/>
  <c r="A682" i="2"/>
  <c r="A674" i="2"/>
  <c r="A666" i="2"/>
  <c r="A658" i="2"/>
  <c r="A650" i="2"/>
  <c r="A642" i="2"/>
  <c r="A634" i="2"/>
  <c r="A626" i="2"/>
  <c r="A618" i="2"/>
  <c r="A610" i="2"/>
  <c r="A602" i="2"/>
  <c r="A594" i="2"/>
  <c r="A586" i="2"/>
  <c r="A578" i="2"/>
  <c r="A570" i="2"/>
  <c r="A562" i="2"/>
  <c r="A554" i="2"/>
  <c r="A546" i="2"/>
  <c r="A538" i="2"/>
  <c r="A530" i="2"/>
  <c r="A522" i="2"/>
  <c r="A514" i="2"/>
  <c r="A506" i="2"/>
  <c r="A498" i="2"/>
  <c r="A490" i="2"/>
  <c r="A896" i="2"/>
  <c r="A888" i="2"/>
  <c r="A880" i="2"/>
  <c r="A872" i="2"/>
  <c r="A864" i="2"/>
  <c r="A856" i="2"/>
  <c r="A848" i="2"/>
  <c r="A840" i="2"/>
  <c r="A832" i="2"/>
  <c r="A824" i="2"/>
  <c r="A816" i="2"/>
  <c r="A808" i="2"/>
  <c r="A800" i="2"/>
  <c r="A792" i="2"/>
  <c r="A784" i="2"/>
  <c r="A776" i="2"/>
  <c r="A768" i="2"/>
  <c r="A760" i="2"/>
  <c r="A752" i="2"/>
  <c r="A744" i="2"/>
  <c r="A736" i="2"/>
  <c r="A728" i="2"/>
  <c r="A720" i="2"/>
  <c r="A712" i="2"/>
  <c r="A704" i="2"/>
  <c r="A696" i="2"/>
  <c r="A688" i="2"/>
  <c r="A680" i="2"/>
  <c r="A672" i="2"/>
  <c r="A664" i="2"/>
  <c r="A656" i="2"/>
  <c r="A648" i="2"/>
  <c r="A640" i="2"/>
  <c r="A632" i="2"/>
  <c r="A624" i="2"/>
  <c r="A616" i="2"/>
  <c r="A608" i="2"/>
  <c r="A600" i="2"/>
  <c r="A592" i="2"/>
  <c r="A584" i="2"/>
  <c r="A576" i="2"/>
  <c r="A568" i="2"/>
  <c r="A560" i="2"/>
  <c r="A552" i="2"/>
  <c r="A544" i="2"/>
  <c r="A536" i="2"/>
  <c r="A528" i="2"/>
  <c r="A520" i="2"/>
  <c r="A512" i="2"/>
  <c r="A504" i="2"/>
  <c r="A496" i="2"/>
  <c r="A488" i="2"/>
  <c r="A480" i="2"/>
  <c r="A472" i="2"/>
  <c r="A464" i="2"/>
  <c r="A456" i="2"/>
  <c r="A448" i="2"/>
  <c r="A440" i="2"/>
  <c r="A432" i="2"/>
  <c r="A424" i="2"/>
  <c r="A416" i="2"/>
  <c r="A408" i="2"/>
  <c r="A400" i="2"/>
  <c r="A392" i="2"/>
  <c r="A384" i="2"/>
  <c r="A376" i="2"/>
  <c r="A368" i="2"/>
  <c r="A360" i="2"/>
  <c r="A352" i="2"/>
  <c r="A344" i="2"/>
  <c r="A336" i="2"/>
  <c r="A328" i="2"/>
  <c r="A907" i="2"/>
  <c r="A899" i="2"/>
  <c r="A891" i="2"/>
  <c r="A883" i="2"/>
  <c r="A875" i="2"/>
  <c r="A867" i="2"/>
  <c r="A859" i="2"/>
  <c r="A851" i="2"/>
  <c r="A843" i="2"/>
  <c r="A835" i="2"/>
  <c r="A827" i="2"/>
  <c r="A819" i="2"/>
  <c r="A811" i="2"/>
  <c r="A803" i="2"/>
  <c r="A795" i="2"/>
  <c r="A787" i="2"/>
  <c r="A779" i="2"/>
  <c r="A771" i="2"/>
  <c r="A763" i="2"/>
  <c r="A755" i="2"/>
  <c r="A747" i="2"/>
  <c r="A739" i="2"/>
  <c r="A731" i="2"/>
  <c r="A723" i="2"/>
  <c r="A715" i="2"/>
  <c r="A707" i="2"/>
  <c r="A699" i="2"/>
  <c r="A691" i="2"/>
  <c r="A683" i="2"/>
  <c r="A675" i="2"/>
  <c r="A667" i="2"/>
  <c r="A659" i="2"/>
  <c r="A651" i="2"/>
  <c r="A643" i="2"/>
  <c r="A635" i="2"/>
  <c r="A627" i="2"/>
  <c r="A619" i="2"/>
  <c r="A611" i="2"/>
  <c r="A603" i="2"/>
  <c r="A595" i="2"/>
  <c r="A587" i="2"/>
  <c r="A579" i="2"/>
  <c r="A571" i="2"/>
  <c r="A563" i="2"/>
  <c r="A555" i="2"/>
  <c r="A547" i="2"/>
  <c r="A539" i="2"/>
  <c r="A531" i="2"/>
  <c r="A523" i="2"/>
  <c r="A515" i="2"/>
  <c r="A507" i="2"/>
  <c r="A499" i="2"/>
  <c r="A491" i="2"/>
  <c r="A483" i="2"/>
  <c r="A475" i="2"/>
  <c r="A467" i="2"/>
  <c r="A459" i="2"/>
  <c r="A451" i="2"/>
  <c r="A443" i="2"/>
  <c r="A435" i="2"/>
  <c r="A427" i="2"/>
  <c r="A419" i="2"/>
  <c r="A411" i="2"/>
  <c r="A403" i="2"/>
  <c r="A395" i="2"/>
  <c r="A387" i="2"/>
  <c r="A379" i="2"/>
  <c r="A371" i="2"/>
  <c r="A363" i="2"/>
  <c r="A355" i="2"/>
  <c r="A347" i="2"/>
  <c r="A339" i="2"/>
  <c r="A331" i="2"/>
  <c r="A323" i="2"/>
  <c r="A315" i="2"/>
  <c r="A307" i="2"/>
  <c r="A299" i="2"/>
  <c r="A291" i="2"/>
  <c r="A283" i="2"/>
  <c r="A275" i="2"/>
  <c r="A267" i="2"/>
  <c r="A259" i="2"/>
  <c r="A251" i="2"/>
  <c r="A243" i="2"/>
  <c r="A235" i="2"/>
  <c r="A227" i="2"/>
  <c r="A219" i="2"/>
  <c r="A211" i="2"/>
  <c r="A203" i="2"/>
  <c r="A195" i="2"/>
  <c r="A187" i="2"/>
  <c r="A179" i="2"/>
  <c r="A171" i="2"/>
  <c r="A163" i="2"/>
  <c r="A155" i="2"/>
  <c r="A147" i="2"/>
  <c r="A139" i="2"/>
  <c r="A131" i="2"/>
  <c r="A123" i="2"/>
  <c r="A115" i="2"/>
  <c r="A107" i="2"/>
  <c r="A99" i="2"/>
  <c r="A91" i="2"/>
  <c r="A83" i="2"/>
  <c r="A75" i="2"/>
  <c r="A67" i="2"/>
  <c r="A59" i="2"/>
  <c r="A51" i="2"/>
  <c r="A43" i="2"/>
  <c r="A35" i="2"/>
  <c r="A27" i="2"/>
  <c r="A19" i="2"/>
  <c r="A11" i="2"/>
  <c r="A3" i="2"/>
  <c r="A727" i="2"/>
  <c r="A719" i="2"/>
  <c r="A703" i="2"/>
  <c r="A695" i="2"/>
  <c r="A687" i="2"/>
  <c r="A679" i="2"/>
  <c r="A671" i="2"/>
  <c r="A534" i="2"/>
  <c r="A526" i="2"/>
  <c r="A518" i="2"/>
  <c r="A510" i="2"/>
  <c r="A502" i="2"/>
  <c r="A494" i="2"/>
  <c r="A486" i="2"/>
  <c r="A478" i="2"/>
  <c r="A470" i="2"/>
  <c r="A462" i="2"/>
  <c r="A454" i="2"/>
  <c r="A446" i="2"/>
  <c r="A438" i="2"/>
  <c r="A430" i="2"/>
  <c r="A422" i="2"/>
  <c r="A414" i="2"/>
  <c r="A406" i="2"/>
  <c r="A398" i="2"/>
  <c r="A390" i="2"/>
  <c r="A382" i="2"/>
  <c r="A374" i="2"/>
  <c r="A366" i="2"/>
  <c r="A358" i="2"/>
  <c r="A350" i="2"/>
  <c r="A342" i="2"/>
  <c r="A334" i="2"/>
  <c r="A326" i="2"/>
  <c r="A318" i="2"/>
  <c r="A310" i="2"/>
  <c r="A302" i="2"/>
  <c r="A294" i="2"/>
  <c r="A286" i="2"/>
  <c r="A278" i="2"/>
  <c r="A270" i="2"/>
  <c r="A262" i="2"/>
  <c r="A254" i="2"/>
  <c r="A246" i="2"/>
  <c r="A238" i="2"/>
  <c r="A230" i="2"/>
  <c r="A222" i="2"/>
  <c r="A214" i="2"/>
  <c r="A206" i="2"/>
  <c r="A198" i="2"/>
  <c r="A190" i="2"/>
  <c r="A182" i="2"/>
  <c r="A174" i="2"/>
  <c r="A166" i="2"/>
  <c r="A158" i="2"/>
  <c r="A150" i="2"/>
  <c r="A142" i="2"/>
  <c r="A134" i="2"/>
  <c r="A126" i="2"/>
  <c r="A118" i="2"/>
  <c r="A110" i="2"/>
  <c r="A102" i="2"/>
  <c r="A94" i="2"/>
  <c r="A86" i="2"/>
  <c r="A78" i="2"/>
  <c r="A70" i="2"/>
  <c r="A62" i="2"/>
  <c r="A54" i="2"/>
  <c r="A46" i="2"/>
  <c r="A38" i="2"/>
  <c r="A30" i="2"/>
  <c r="A22" i="2"/>
  <c r="A14" i="2"/>
  <c r="A6" i="2"/>
  <c r="A482" i="2"/>
  <c r="A474" i="2"/>
  <c r="A466" i="2"/>
  <c r="A458" i="2"/>
  <c r="A450" i="2"/>
  <c r="A442" i="2"/>
  <c r="A434" i="2"/>
  <c r="A426" i="2"/>
  <c r="A418" i="2"/>
  <c r="A410" i="2"/>
  <c r="A402" i="2"/>
  <c r="A394" i="2"/>
  <c r="A386" i="2"/>
  <c r="A378" i="2"/>
  <c r="A370" i="2"/>
  <c r="A362" i="2"/>
  <c r="A354" i="2"/>
  <c r="A346" i="2"/>
  <c r="A338" i="2"/>
  <c r="A330" i="2"/>
  <c r="A322" i="2"/>
  <c r="A314" i="2"/>
  <c r="A306" i="2"/>
  <c r="A298" i="2"/>
  <c r="A290" i="2"/>
  <c r="A282" i="2"/>
  <c r="A274" i="2"/>
  <c r="A266" i="2"/>
  <c r="A258" i="2"/>
  <c r="A250" i="2"/>
  <c r="A242" i="2"/>
  <c r="A234" i="2"/>
  <c r="A226" i="2"/>
  <c r="A218" i="2"/>
  <c r="A210" i="2"/>
  <c r="A202" i="2"/>
  <c r="A194" i="2"/>
  <c r="A186" i="2"/>
  <c r="A178" i="2"/>
  <c r="A170" i="2"/>
  <c r="A162" i="2"/>
  <c r="A154" i="2"/>
  <c r="A146" i="2"/>
  <c r="A138" i="2"/>
  <c r="A130" i="2"/>
  <c r="A122" i="2"/>
  <c r="A114" i="2"/>
  <c r="A106" i="2"/>
  <c r="A98" i="2"/>
  <c r="A90" i="2"/>
  <c r="A82" i="2"/>
  <c r="A74" i="2"/>
  <c r="A66" i="2"/>
  <c r="A58" i="2"/>
  <c r="A50" i="2"/>
  <c r="A42" i="2"/>
  <c r="A34" i="2"/>
  <c r="A26" i="2"/>
  <c r="A18" i="2"/>
  <c r="A10" i="2"/>
  <c r="A320" i="2"/>
  <c r="A312" i="2"/>
  <c r="A304" i="2"/>
  <c r="A296" i="2"/>
  <c r="A288" i="2"/>
  <c r="A280" i="2"/>
  <c r="A272" i="2"/>
  <c r="A264" i="2"/>
  <c r="A256" i="2"/>
  <c r="A248" i="2"/>
  <c r="A240" i="2"/>
  <c r="A232" i="2"/>
  <c r="A224" i="2"/>
  <c r="A216" i="2"/>
  <c r="A208" i="2"/>
  <c r="A200" i="2"/>
  <c r="A192" i="2"/>
  <c r="A184" i="2"/>
  <c r="A176" i="2"/>
  <c r="A168" i="2"/>
  <c r="A160" i="2"/>
  <c r="A152" i="2"/>
  <c r="A144" i="2"/>
  <c r="A136" i="2"/>
  <c r="A128" i="2"/>
  <c r="A120" i="2"/>
  <c r="A112" i="2"/>
  <c r="A104" i="2"/>
  <c r="A96" i="2"/>
  <c r="A88" i="2"/>
  <c r="A80" i="2"/>
  <c r="A72" i="2"/>
  <c r="A64" i="2"/>
  <c r="A56" i="2"/>
  <c r="A48" i="2"/>
  <c r="A40" i="2"/>
  <c r="A32" i="2"/>
  <c r="A24" i="2"/>
  <c r="A16" i="2"/>
  <c r="A8" i="2"/>
  <c r="A116" i="2"/>
  <c r="A108" i="2"/>
  <c r="A100" i="2"/>
  <c r="A92" i="2"/>
  <c r="A84" i="2"/>
  <c r="A76" i="2"/>
  <c r="A68" i="2"/>
  <c r="A60" i="2"/>
  <c r="A52" i="2"/>
  <c r="A44" i="2"/>
  <c r="A36" i="2"/>
  <c r="A28" i="2"/>
  <c r="A20" i="2"/>
  <c r="A12" i="2"/>
  <c r="A4" i="2"/>
  <c r="A912" i="2"/>
  <c r="A904" i="2"/>
  <c r="A900" i="2"/>
  <c r="A892" i="2"/>
  <c r="A884" i="2"/>
  <c r="A876" i="2"/>
  <c r="A868" i="2"/>
  <c r="A860" i="2"/>
  <c r="A852" i="2"/>
  <c r="A844" i="2"/>
  <c r="A836" i="2"/>
  <c r="A828" i="2"/>
  <c r="A820" i="2"/>
  <c r="A804" i="2"/>
  <c r="A796" i="2"/>
  <c r="A788" i="2"/>
  <c r="A780" i="2"/>
  <c r="A772" i="2"/>
  <c r="A764" i="2"/>
  <c r="A756" i="2"/>
  <c r="A740" i="2"/>
  <c r="A732" i="2"/>
  <c r="A878" i="2"/>
  <c r="A894" i="2"/>
  <c r="A870" i="2"/>
  <c r="A693" i="2"/>
  <c r="A669" i="2"/>
  <c r="A661" i="2"/>
  <c r="A701" i="2"/>
  <c r="A685" i="2"/>
  <c r="A653" i="2"/>
  <c r="A862" i="2"/>
  <c r="A911" i="2"/>
  <c r="A903" i="2"/>
  <c r="A887" i="2"/>
  <c r="A871" i="2"/>
  <c r="A863" i="2"/>
  <c r="A855" i="2"/>
  <c r="A847" i="2"/>
  <c r="A839" i="2"/>
  <c r="A831" i="2"/>
  <c r="A823" i="2"/>
  <c r="A815" i="2"/>
  <c r="A807" i="2"/>
  <c r="A799" i="2"/>
  <c r="A791" i="2"/>
  <c r="A783" i="2"/>
  <c r="A775" i="2"/>
  <c r="A767" i="2"/>
  <c r="A759" i="2"/>
  <c r="A751" i="2"/>
  <c r="A743" i="2"/>
  <c r="A735" i="2"/>
  <c r="A845" i="2"/>
  <c r="A813" i="2"/>
  <c r="A805" i="2"/>
  <c r="A797" i="2"/>
  <c r="A789" i="2"/>
  <c r="A781" i="2"/>
  <c r="A757" i="2"/>
  <c r="A749" i="2"/>
  <c r="A741" i="2"/>
  <c r="A725" i="2"/>
  <c r="A709" i="2"/>
  <c r="A890" i="2"/>
  <c r="A842" i="2"/>
  <c r="A882" i="2"/>
  <c r="A866" i="2"/>
  <c r="A850" i="2"/>
  <c r="A913" i="2"/>
  <c r="A905" i="2"/>
  <c r="A897" i="2"/>
  <c r="A889" i="2"/>
  <c r="A873" i="2"/>
  <c r="A865" i="2"/>
  <c r="A857" i="2"/>
  <c r="A849" i="2"/>
  <c r="A841" i="2"/>
  <c r="A833" i="2"/>
  <c r="A825" i="2"/>
  <c r="A817" i="2"/>
  <c r="A801" i="2"/>
  <c r="A793" i="2"/>
  <c r="A785" i="2"/>
  <c r="A777" i="2"/>
  <c r="A769" i="2"/>
  <c r="A761" i="2"/>
  <c r="A753" i="2"/>
  <c r="A745" i="2"/>
  <c r="A729" i="2"/>
  <c r="A721" i="2"/>
  <c r="A697" i="2"/>
  <c r="A689" i="2"/>
  <c r="A681" i="2"/>
  <c r="A673" i="2"/>
  <c r="A665" i="2"/>
  <c r="A657" i="2"/>
  <c r="A649" i="2"/>
  <c r="A641" i="2"/>
  <c r="A633" i="2"/>
  <c r="A625" i="2"/>
  <c r="A617" i="2"/>
  <c r="A609" i="2"/>
  <c r="A906" i="2"/>
  <c r="A874" i="2"/>
  <c r="A858" i="2"/>
  <c r="A902" i="2"/>
  <c r="A901" i="2"/>
  <c r="A885" i="2"/>
  <c r="A869" i="2"/>
  <c r="A853" i="2"/>
  <c r="A910" i="2"/>
  <c r="A909" i="2"/>
  <c r="A893" i="2"/>
  <c r="A877" i="2"/>
  <c r="A861" i="2"/>
  <c r="AH3" i="2"/>
  <c r="AH2" i="2"/>
</calcChain>
</file>

<file path=xl/sharedStrings.xml><?xml version="1.0" encoding="utf-8"?>
<sst xmlns="http://schemas.openxmlformats.org/spreadsheetml/2006/main" count="12846" uniqueCount="2807">
  <si>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</si>
  <si>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</si>
  <si>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</si>
  <si>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</si>
  <si>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</si>
  <si>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</si>
  <si>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</si>
  <si>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</si>
  <si>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</si>
  <si>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</si>
  <si>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</si>
  <si>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</si>
  <si>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</si>
  <si>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</si>
  <si>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</si>
  <si>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</si>
  <si>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</si>
  <si>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</si>
  <si>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</si>
  <si>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</si>
  <si>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</si>
  <si>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</si>
  <si>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</si>
  <si>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</si>
  <si>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</si>
  <si>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</si>
  <si>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</si>
  <si>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</si>
  <si>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</si>
  <si>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</si>
  <si>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</si>
  <si>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</si>
  <si>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</si>
  <si>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</si>
  <si>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</si>
  <si>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</si>
  <si>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</si>
  <si>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</si>
  <si>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</si>
  <si>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</si>
  <si>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</si>
  <si>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</si>
  <si>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</si>
  <si>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</si>
  <si>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</si>
  <si>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</si>
  <si>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</si>
  <si>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</si>
  <si>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</si>
  <si>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</si>
  <si>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</si>
  <si>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</si>
  <si>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</si>
  <si>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</si>
  <si>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</si>
  <si>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</si>
  <si>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</si>
  <si>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</si>
  <si>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</si>
  <si>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</si>
  <si>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</si>
  <si>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</si>
  <si>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</si>
  <si>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</si>
  <si>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</si>
  <si>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</si>
  <si>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</si>
  <si>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</si>
  <si>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</si>
  <si>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</si>
  <si>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</si>
  <si>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</si>
  <si>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</si>
  <si>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</si>
  <si>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</si>
  <si>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</si>
  <si>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</si>
  <si>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</si>
  <si>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</si>
  <si>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</si>
  <si>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</si>
  <si>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</si>
  <si>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</si>
  <si>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</si>
  <si>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</si>
  <si>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</si>
  <si>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</si>
  <si>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</si>
  <si>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</si>
  <si>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</si>
  <si>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</si>
  <si>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</si>
  <si>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</si>
  <si>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</si>
  <si>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</si>
  <si>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</si>
  <si>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</si>
  <si>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</si>
  <si>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</si>
  <si>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</si>
  <si>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</si>
  <si>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</si>
  <si>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</si>
  <si>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</si>
  <si>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</si>
  <si>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</si>
  <si>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</si>
  <si>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</si>
  <si>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</si>
  <si>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</si>
  <si>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</si>
  <si>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</si>
  <si>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</si>
  <si>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</si>
  <si>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</si>
  <si>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</si>
  <si>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</si>
  <si>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</si>
  <si>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</si>
  <si>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</si>
  <si>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</si>
  <si>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</si>
  <si>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</si>
  <si>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</si>
  <si>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</si>
  <si>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</si>
  <si>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</si>
  <si>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</si>
  <si>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</si>
  <si>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</si>
  <si>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</si>
  <si>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</si>
  <si>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</si>
  <si>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</si>
  <si>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</si>
  <si>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</si>
  <si>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</si>
  <si>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</si>
  <si>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</si>
  <si>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</si>
  <si>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</si>
  <si>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</si>
  <si>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</si>
  <si>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</si>
  <si>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</si>
  <si>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</si>
  <si>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</si>
  <si>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</si>
  <si>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</si>
  <si>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</si>
  <si>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</si>
  <si>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</si>
  <si>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</si>
  <si>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</si>
  <si>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</si>
  <si>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</si>
  <si>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</si>
  <si>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</si>
  <si>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</si>
  <si>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</si>
  <si>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</si>
  <si>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</si>
  <si>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</si>
  <si>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</si>
  <si>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</si>
  <si>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</si>
  <si>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</si>
  <si>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</si>
  <si>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</si>
  <si>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</si>
  <si>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</si>
  <si>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</si>
  <si>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</si>
  <si>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</si>
  <si>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</si>
  <si>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</si>
  <si>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</si>
  <si>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</si>
  <si>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</si>
  <si>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</si>
  <si>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</si>
  <si>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</si>
  <si>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</si>
  <si>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</si>
  <si>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</si>
  <si>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</si>
  <si>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</si>
  <si>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</si>
  <si>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</si>
  <si>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</si>
  <si>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</si>
  <si>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</si>
  <si>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</si>
  <si>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</si>
  <si>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</si>
  <si>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</si>
  <si>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</si>
  <si>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</si>
  <si>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</si>
  <si>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</si>
  <si>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</si>
  <si>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</si>
  <si>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</si>
  <si>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</si>
  <si>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</si>
  <si>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</si>
  <si>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</si>
  <si>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</si>
  <si>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</si>
  <si>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</si>
  <si>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</si>
  <si>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</si>
  <si>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</si>
  <si>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</si>
  <si>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</si>
  <si>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</si>
  <si>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</si>
  <si>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</si>
  <si>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</si>
  <si>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</si>
  <si>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</si>
  <si>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</si>
  <si>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</si>
  <si>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</si>
  <si>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</si>
  <si>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</si>
  <si>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</si>
  <si>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</si>
  <si>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</si>
  <si>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</si>
  <si>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</si>
  <si>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</si>
  <si>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</si>
  <si>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</si>
  <si>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</si>
  <si>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</si>
  <si>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</si>
  <si>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</si>
  <si>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</si>
  <si>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</si>
  <si>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</si>
  <si>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</si>
  <si>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</si>
  <si>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</si>
  <si>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</si>
  <si>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</si>
  <si>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</si>
  <si>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</si>
  <si>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</si>
  <si>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</si>
  <si>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</si>
  <si>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</si>
  <si>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</si>
  <si>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</si>
  <si>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</si>
  <si>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</si>
  <si>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</si>
  <si>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</si>
  <si>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</si>
  <si>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</si>
  <si>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</si>
  <si>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</si>
  <si>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</si>
  <si>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</si>
  <si>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</si>
  <si>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</si>
  <si>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</si>
  <si>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</si>
  <si>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</si>
  <si>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</si>
  <si>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</si>
  <si>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</si>
  <si>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</si>
  <si>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</si>
  <si>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</si>
  <si>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</si>
  <si>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</si>
  <si>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</si>
  <si>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</si>
  <si>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</si>
  <si>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</si>
  <si>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</si>
  <si>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</si>
  <si>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</si>
  <si>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</si>
  <si>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</si>
  <si>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</si>
  <si>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</si>
  <si>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</si>
  <si>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</si>
  <si>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</si>
  <si>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</si>
  <si>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</si>
  <si>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</si>
  <si>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</si>
  <si>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</si>
  <si>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</si>
  <si>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</si>
  <si>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</si>
  <si>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</si>
  <si>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</si>
  <si>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</si>
  <si>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</si>
  <si>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</si>
  <si>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</si>
  <si>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</si>
  <si>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</si>
  <si>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</si>
  <si>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</si>
  <si>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</si>
  <si>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</si>
  <si>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</si>
  <si>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</si>
  <si>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</si>
  <si>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</si>
  <si>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</si>
  <si>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</si>
  <si>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</si>
  <si>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</si>
  <si>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</si>
  <si>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</si>
  <si>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</si>
  <si>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</si>
  <si>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</si>
  <si>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</si>
  <si>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</si>
  <si>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</si>
  <si>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</si>
  <si>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</si>
  <si>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</si>
  <si>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</si>
  <si>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</si>
  <si>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</si>
  <si>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</si>
  <si>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</si>
  <si>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</si>
  <si>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</si>
  <si>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</si>
  <si>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</si>
  <si>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</si>
  <si>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</si>
  <si>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</si>
  <si>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</si>
  <si>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</si>
  <si>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</si>
  <si>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</si>
  <si>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</si>
  <si>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</si>
  <si>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</si>
  <si>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</si>
  <si>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</si>
  <si>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</si>
  <si>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</si>
  <si>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</si>
  <si>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</si>
  <si>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</si>
  <si>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</si>
  <si>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</si>
  <si>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</si>
  <si>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</si>
  <si>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</si>
  <si>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</si>
  <si>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</si>
  <si>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</si>
  <si>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</si>
  <si>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</si>
  <si>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</si>
  <si>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</si>
  <si>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</si>
  <si>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</si>
  <si>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</si>
  <si>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</si>
  <si>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</si>
  <si>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</si>
  <si>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</si>
  <si>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</si>
  <si>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</si>
  <si>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</si>
  <si>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</si>
  <si>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</si>
  <si>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</si>
  <si>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</si>
  <si>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</si>
  <si>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</si>
  <si>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</si>
  <si>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</si>
  <si>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</si>
  <si>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</si>
  <si>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</si>
  <si>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</si>
  <si>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</si>
  <si>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</si>
  <si>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</si>
  <si>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</si>
  <si>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</si>
  <si>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</si>
  <si>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</si>
  <si>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</si>
  <si>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</si>
  <si>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</si>
  <si>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</si>
  <si>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</si>
  <si>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</si>
  <si>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</si>
  <si>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</si>
  <si>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</si>
  <si>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</si>
  <si>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</si>
  <si>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</si>
  <si>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</si>
  <si>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</si>
  <si>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</si>
  <si>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</si>
  <si>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</si>
  <si>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</si>
  <si>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</si>
  <si>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</si>
  <si>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</si>
  <si>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</si>
  <si>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</si>
  <si>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</si>
  <si>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</si>
  <si>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</si>
  <si>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</si>
  <si>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</si>
  <si>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</si>
  <si>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</si>
  <si>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</si>
  <si>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</si>
  <si>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</si>
  <si>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</si>
  <si>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</si>
  <si>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</si>
  <si>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</si>
  <si>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</si>
  <si>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</si>
  <si>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</si>
  <si>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</si>
  <si>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</si>
  <si>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</si>
  <si>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</si>
  <si>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</si>
  <si>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</si>
  <si>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</si>
  <si>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</si>
  <si>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</si>
  <si>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</si>
  <si>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</si>
  <si>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</si>
  <si>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</si>
  <si>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</si>
  <si>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</si>
  <si>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</si>
  <si>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</si>
  <si>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</si>
  <si>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</si>
  <si>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</si>
  <si>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</si>
  <si>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</si>
  <si>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</si>
  <si>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</si>
  <si>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</si>
  <si>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</si>
  <si>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</si>
  <si>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</si>
  <si>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</si>
  <si>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</si>
  <si>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</si>
  <si>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</si>
  <si>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</si>
  <si>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</si>
  <si>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</si>
  <si>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</si>
  <si>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</si>
  <si>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  Business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</si>
  <si>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</si>
  <si>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</si>
  <si>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</si>
  <si>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</si>
  <si>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</si>
  <si>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</si>
  <si>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</si>
  <si>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</si>
  <si>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</si>
  <si>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</si>
  <si>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</si>
  <si>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</si>
  <si>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</si>
  <si>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</si>
  <si>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</si>
  <si>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</si>
  <si>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</si>
  <si>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</si>
  <si>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</si>
  <si>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</si>
  <si>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</si>
  <si>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</si>
  <si>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</si>
  <si>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</si>
  <si>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</si>
  <si>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</si>
  <si>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</si>
  <si>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</si>
  <si>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</si>
  <si>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</si>
  <si>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</si>
  <si>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</si>
  <si>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</si>
  <si>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</si>
  <si>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</si>
  <si>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</si>
  <si>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</si>
  <si>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</si>
  <si>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</si>
  <si>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</si>
  <si>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</si>
  <si>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</si>
  <si>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</si>
  <si>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</si>
  <si>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</si>
  <si>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</si>
  <si>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</si>
  <si>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</si>
  <si>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</si>
  <si>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</si>
  <si>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</si>
  <si>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</si>
  <si>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</si>
  <si>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</si>
  <si>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</si>
  <si>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</si>
  <si>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</si>
  <si>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</si>
  <si>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</si>
  <si>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</si>
  <si>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</si>
  <si>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</si>
  <si>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</si>
  <si>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</si>
  <si>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</si>
  <si>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</si>
  <si>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</si>
  <si>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</si>
  <si>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</si>
  <si>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</si>
  <si>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</si>
  <si>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</si>
  <si>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</si>
  <si>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</si>
  <si>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</si>
  <si>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</si>
  <si>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</si>
  <si>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</si>
  <si>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</si>
  <si>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</si>
  <si>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</si>
  <si>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</si>
  <si>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</si>
  <si>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</si>
  <si>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</si>
  <si>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</si>
  <si>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</si>
  <si>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</si>
  <si>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</si>
  <si>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</si>
  <si>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</si>
  <si>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</si>
  <si>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</si>
  <si>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</si>
  <si>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</si>
  <si>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</si>
  <si>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</si>
  <si>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</si>
  <si>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</si>
  <si>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</si>
  <si>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</si>
  <si>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</si>
  <si>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</si>
  <si>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</si>
  <si>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</si>
  <si>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</si>
  <si>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</si>
  <si>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</si>
  <si>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</si>
  <si>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</si>
  <si>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</si>
  <si>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</si>
  <si>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</si>
  <si>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</si>
  <si>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</si>
  <si>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</si>
  <si>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</si>
  <si>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</si>
  <si>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</si>
  <si>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</si>
  <si>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</si>
  <si>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</si>
  <si>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</si>
  <si>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</si>
  <si>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</si>
  <si>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</si>
  <si>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</si>
  <si>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</si>
  <si>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</si>
  <si>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</si>
  <si>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</si>
  <si>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</si>
  <si>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</si>
  <si>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</si>
  <si>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</si>
  <si>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</si>
  <si>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</si>
  <si>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</si>
  <si>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</si>
  <si>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</si>
  <si>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</si>
  <si>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</si>
  <si>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</si>
  <si>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</si>
  <si>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</si>
  <si>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</si>
  <si>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</si>
  <si>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</si>
  <si>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</si>
  <si>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</si>
  <si>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</si>
  <si>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</si>
  <si>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</si>
  <si>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</si>
  <si>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</si>
  <si>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</si>
  <si>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</si>
  <si>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</si>
  <si>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</si>
  <si>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</si>
  <si>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</si>
  <si>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</si>
  <si>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</si>
  <si>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</si>
  <si>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</si>
  <si>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</si>
  <si>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</si>
  <si>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</si>
  <si>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</si>
  <si>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</si>
  <si>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</si>
  <si>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</si>
  <si>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</si>
  <si>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</si>
  <si>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</si>
  <si>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</si>
  <si>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</si>
  <si>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</si>
  <si>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</si>
  <si>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</si>
  <si>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</si>
  <si>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</si>
  <si>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</si>
  <si>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</si>
  <si>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</si>
  <si>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</si>
  <si>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</si>
  <si>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</si>
  <si>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</si>
  <si>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</si>
  <si>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</si>
  <si>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</si>
  <si>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</si>
  <si>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</si>
  <si>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</si>
  <si>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</si>
  <si>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</si>
  <si>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</si>
  <si>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</si>
  <si>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</si>
  <si>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</si>
  <si>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</si>
  <si>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</si>
  <si>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</si>
  <si>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</si>
  <si>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</si>
  <si>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</si>
  <si>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</si>
  <si>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</si>
  <si>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</si>
  <si>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</si>
  <si>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</si>
  <si>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</si>
  <si>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</si>
  <si>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</si>
  <si>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</si>
  <si>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</si>
  <si>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</si>
  <si>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</si>
  <si>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</si>
  <si>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</si>
  <si>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</si>
  <si>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</si>
  <si>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</si>
  <si>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</si>
  <si>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</si>
  <si>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</si>
  <si>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</si>
  <si>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</si>
  <si>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</si>
  <si>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</si>
  <si>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</si>
  <si>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</si>
  <si>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</si>
  <si>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</si>
  <si>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</si>
  <si>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</si>
  <si>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</si>
  <si>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</si>
  <si>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</si>
  <si>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</si>
  <si>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</si>
  <si>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</si>
  <si>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</si>
  <si>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</si>
  <si>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</si>
  <si>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</si>
  <si>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</si>
  <si>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</si>
  <si>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</si>
  <si>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</si>
  <si>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</si>
  <si>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</si>
  <si>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</si>
  <si>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</si>
  <si>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</si>
  <si>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</si>
  <si>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</si>
  <si>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</si>
  <si>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</si>
  <si>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</si>
  <si>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</si>
  <si>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</si>
  <si>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</si>
  <si>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</si>
  <si>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</si>
  <si>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</si>
  <si>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</si>
  <si>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</si>
  <si>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</si>
  <si>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</si>
  <si>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</si>
  <si>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</si>
  <si>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</si>
  <si>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</si>
  <si>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</si>
  <si>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</si>
  <si>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</si>
  <si>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</si>
  <si>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</si>
  <si>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</si>
  <si>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</si>
  <si>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</si>
  <si>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</si>
  <si>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</si>
  <si>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</si>
  <si>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</si>
  <si>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</si>
  <si>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</si>
  <si>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</si>
  <si>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</si>
  <si>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</si>
  <si>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</si>
  <si>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</si>
  <si>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</si>
  <si>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</si>
  <si>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</si>
  <si>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</si>
  <si>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</si>
  <si>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</si>
  <si>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</si>
  <si>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</si>
  <si>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</si>
  <si>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</si>
  <si>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</si>
  <si>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</si>
  <si>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</si>
  <si>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</si>
  <si>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</si>
  <si>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</si>
  <si>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</si>
  <si>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</si>
  <si>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</si>
  <si>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</si>
  <si>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</si>
  <si>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</si>
  <si>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</si>
  <si>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</si>
  <si>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</si>
  <si>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</si>
  <si>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</si>
  <si>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</si>
  <si>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</si>
  <si>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</si>
  <si>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</si>
  <si>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</si>
  <si>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</si>
  <si>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</si>
  <si>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</si>
  <si>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</si>
  <si>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</si>
  <si>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</si>
  <si>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</si>
  <si>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</si>
  <si>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</si>
  <si>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  Supplies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</si>
  <si>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</si>
  <si>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</si>
  <si>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</si>
  <si>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</si>
  <si>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</si>
  <si>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</si>
  <si>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</si>
  <si>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</si>
  <si>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</si>
  <si>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</si>
  <si>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</si>
  <si>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</si>
  <si>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</si>
  <si>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</si>
  <si>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</si>
  <si>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</si>
  <si>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</si>
  <si>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</si>
  <si>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</si>
  <si>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</si>
  <si>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</si>
  <si>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</si>
  <si>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</si>
  <si>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</si>
  <si>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</si>
  <si>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</si>
  <si>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</si>
  <si>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</si>
  <si>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</si>
  <si>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</si>
  <si>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</si>
  <si>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</si>
  <si>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</si>
  <si>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</si>
  <si>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</si>
  <si>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</si>
  <si>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</si>
  <si>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</si>
  <si>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</si>
  <si>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</si>
  <si>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</si>
  <si>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</si>
  <si>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</si>
  <si>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</si>
  <si>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</si>
  <si>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</si>
  <si>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</si>
  <si>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</si>
  <si>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</si>
  <si>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</si>
  <si>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</si>
  <si>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</si>
  <si>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</si>
  <si>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</si>
  <si>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</si>
  <si>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</si>
  <si>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</si>
  <si>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</si>
  <si>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</si>
  <si>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</si>
  <si>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</si>
  <si>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</si>
  <si>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</si>
  <si>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</si>
  <si>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</si>
  <si>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</si>
  <si>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</si>
  <si>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</si>
  <si>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</si>
  <si>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</si>
  <si>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</si>
  <si>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</si>
  <si>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</si>
  <si>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</si>
  <si>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</si>
  <si>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</si>
  <si>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</si>
  <si>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</si>
  <si>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</si>
  <si>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</si>
  <si>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</si>
  <si>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</si>
  <si>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</si>
  <si>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</si>
  <si>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</si>
  <si>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</si>
  <si>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</si>
  <si>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</si>
  <si>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</si>
  <si>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</si>
  <si>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</si>
  <si>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</si>
  <si>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</si>
  <si>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</si>
  <si>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</si>
  <si>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</si>
  <si>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</si>
  <si>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</si>
  <si>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</si>
  <si>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</si>
  <si>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</si>
  <si>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</si>
  <si>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</si>
  <si>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</si>
  <si>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</si>
  <si>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</si>
  <si>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</si>
  <si>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</si>
  <si>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</si>
  <si>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</si>
  <si>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</si>
  <si>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</si>
  <si>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</si>
  <si>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</si>
  <si>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</si>
  <si>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</si>
  <si>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</si>
  <si>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</si>
  <si>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</si>
  <si>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</si>
  <si>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</si>
  <si>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</si>
  <si>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</si>
  <si>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</si>
  <si>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</si>
  <si>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</si>
  <si>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</si>
  <si>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</si>
  <si>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</si>
  <si>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</si>
  <si>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</si>
  <si>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</si>
  <si>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</si>
  <si>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</si>
  <si>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</si>
  <si>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</si>
  <si>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</si>
  <si>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</si>
  <si>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</si>
  <si>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</si>
  <si>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</si>
  <si>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</si>
  <si>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</si>
  <si>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</si>
  <si>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</si>
  <si>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</si>
  <si>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</si>
  <si>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</si>
  <si>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</si>
  <si>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</si>
  <si>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</si>
  <si>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</si>
  <si>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</si>
  <si>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</si>
  <si>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</si>
  <si>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</si>
  <si>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</si>
  <si>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</si>
  <si>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</si>
  <si>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</si>
  <si>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</si>
  <si>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</si>
  <si>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</si>
  <si>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</si>
  <si>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</si>
  <si>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</si>
  <si>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</si>
  <si>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</si>
  <si>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</si>
  <si>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</si>
  <si>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</si>
  <si>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</si>
  <si>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</si>
  <si>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</si>
  <si>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</si>
  <si>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</si>
  <si>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</si>
  <si>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</si>
  <si>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</si>
  <si>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</si>
  <si>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</si>
  <si>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</si>
  <si>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</si>
  <si>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</si>
  <si>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</si>
  <si>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</si>
  <si>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</si>
  <si>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</si>
  <si>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</si>
  <si>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</si>
  <si>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</si>
  <si>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</si>
  <si>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</si>
  <si>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</si>
  <si>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</si>
  <si>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</si>
  <si>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</si>
  <si>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</si>
  <si>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</si>
  <si>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</si>
  <si>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</si>
  <si>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</si>
  <si>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</si>
  <si>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</si>
  <si>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</si>
  <si>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</si>
  <si>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</si>
  <si>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</si>
  <si>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</si>
  <si>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</si>
  <si>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</si>
  <si>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</si>
  <si>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</si>
  <si>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</si>
  <si>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</si>
  <si>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</si>
  <si>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</si>
  <si>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</si>
  <si>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</si>
  <si>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</si>
  <si>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</si>
  <si>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</si>
  <si>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</si>
  <si>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</si>
  <si>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</si>
  <si>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</si>
  <si>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</si>
  <si>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</si>
  <si>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</si>
  <si>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</si>
  <si>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</si>
  <si>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</si>
  <si>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</si>
  <si>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</si>
  <si>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</si>
  <si>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</si>
  <si>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</si>
  <si>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</si>
  <si>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</si>
  <si>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</si>
  <si>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</si>
  <si>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</si>
  <si>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</si>
  <si>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</si>
  <si>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</si>
  <si>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</si>
  <si>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</si>
  <si>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</si>
  <si>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</si>
  <si>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</si>
  <si>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</si>
  <si>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</si>
  <si>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</si>
  <si>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</si>
  <si>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</si>
  <si>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</si>
  <si>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</si>
  <si>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</si>
  <si>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</si>
  <si>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</si>
  <si>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</si>
  <si>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</si>
  <si>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</si>
  <si>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</si>
  <si>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</si>
  <si>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</si>
  <si>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</si>
  <si>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</si>
  <si>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</si>
  <si>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</si>
  <si>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</si>
  <si>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</si>
  <si>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</si>
  <si>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</si>
  <si>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</si>
  <si>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</si>
  <si>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</si>
  <si>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</si>
  <si>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</si>
  <si>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</si>
  <si>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</si>
  <si>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</si>
  <si>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</si>
  <si>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</si>
  <si>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</si>
  <si>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</si>
  <si>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</si>
  <si>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</si>
  <si>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</si>
  <si>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</si>
  <si>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</si>
  <si>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</si>
  <si>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</si>
  <si>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</si>
  <si>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</si>
  <si>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</si>
  <si>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</si>
  <si>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</si>
  <si>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</si>
  <si>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</si>
  <si>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</si>
  <si>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</si>
  <si>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</si>
  <si>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</si>
  <si>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</si>
  <si>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</si>
  <si>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</si>
  <si>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</si>
  <si>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</si>
  <si>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</si>
  <si>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</si>
  <si>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</si>
  <si>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</si>
  <si>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</si>
  <si>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</si>
  <si>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</si>
  <si>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</si>
  <si>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</si>
  <si>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</si>
  <si>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</si>
  <si>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</si>
  <si>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</si>
  <si>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</si>
  <si>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</si>
  <si>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</si>
  <si>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</si>
  <si>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</si>
  <si>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</si>
  <si>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</si>
  <si>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</si>
  <si>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</si>
  <si>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</si>
  <si>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</si>
  <si>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</si>
  <si>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</si>
  <si>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</si>
  <si>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</si>
  <si>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</si>
  <si>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</si>
  <si>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</si>
  <si>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</si>
  <si>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</si>
  <si>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</si>
  <si>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</si>
  <si>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</si>
  <si>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</si>
  <si>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</si>
  <si>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</si>
  <si>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</si>
  <si>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</si>
  <si>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</si>
  <si>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</si>
  <si>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</si>
  <si>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</si>
  <si>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</si>
  <si>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</si>
  <si>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</si>
  <si>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</si>
  <si>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</si>
  <si>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</si>
  <si>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</si>
  <si>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</si>
  <si>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</si>
  <si>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</si>
  <si>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</si>
  <si>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</si>
  <si>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</si>
  <si>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</si>
  <si>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</si>
  <si>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</si>
  <si>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</si>
  <si>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</si>
  <si>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</si>
  <si>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</si>
  <si>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</si>
  <si>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</si>
  <si>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</si>
  <si>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</si>
  <si>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</si>
  <si>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</si>
  <si>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</si>
  <si>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</si>
  <si>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</si>
  <si>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</si>
  <si>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</si>
  <si>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</si>
  <si>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</si>
  <si>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</si>
  <si>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</si>
  <si>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</si>
  <si>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</si>
  <si>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</si>
  <si>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</si>
  <si>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</si>
  <si>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</si>
  <si>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</si>
  <si>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</si>
  <si>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</si>
  <si>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</si>
  <si>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</si>
  <si>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</si>
  <si>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</si>
  <si>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</si>
  <si>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</si>
  <si>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</si>
  <si>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</si>
  <si>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</si>
  <si>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</si>
  <si>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</si>
  <si>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</si>
  <si>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</si>
  <si>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</si>
  <si>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</si>
  <si>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</si>
  <si>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</si>
  <si>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</si>
  <si>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</si>
  <si>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</si>
  <si>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</si>
  <si>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</si>
  <si>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</si>
  <si>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</si>
  <si>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</si>
  <si>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</si>
  <si>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</si>
  <si>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</si>
  <si>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</si>
  <si>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</si>
  <si>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</si>
  <si>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</si>
  <si>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</si>
  <si>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</si>
  <si>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</si>
  <si>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</si>
  <si>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</si>
  <si>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</si>
  <si>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</si>
  <si>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</si>
  <si>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</si>
  <si>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</si>
  <si>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</si>
  <si>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</si>
  <si>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</si>
  <si>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</si>
  <si>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</si>
  <si>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</si>
  <si>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</si>
  <si>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</si>
  <si>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</si>
  <si>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</si>
  <si>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</si>
  <si>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</si>
  <si>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</si>
  <si>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</si>
  <si>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</si>
  <si>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</si>
  <si>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</si>
  <si>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</si>
  <si>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</si>
  <si>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</si>
  <si>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</si>
  <si>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</si>
  <si>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</si>
  <si>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</si>
  <si>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</si>
  <si>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</si>
  <si>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</si>
  <si>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</si>
  <si>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</si>
  <si>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</si>
  <si>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</si>
  <si>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</si>
  <si>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</si>
  <si>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</si>
  <si>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</si>
  <si>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</si>
  <si>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</si>
  <si>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</si>
  <si>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</si>
  <si>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</si>
  <si>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</si>
  <si>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</si>
  <si>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</si>
  <si>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</si>
  <si>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</si>
  <si>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</si>
  <si>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</si>
  <si>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</si>
  <si>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</si>
  <si>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</si>
  <si>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</si>
  <si>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</si>
  <si>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</si>
  <si>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</si>
  <si>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</si>
  <si>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</si>
  <si>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</si>
  <si>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</si>
  <si>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</si>
  <si>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</si>
  <si>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</si>
  <si>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</si>
  <si>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</si>
  <si>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</si>
  <si>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</si>
  <si>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</si>
  <si>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</si>
  <si>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</si>
  <si>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</si>
  <si>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</si>
  <si>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</si>
  <si>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</si>
  <si>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</si>
  <si>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</si>
  <si>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</si>
  <si>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</si>
  <si>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</si>
  <si>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</si>
  <si>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</si>
  <si>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</si>
  <si>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</si>
  <si>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</si>
  <si>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</si>
  <si>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</si>
  <si>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</si>
  <si>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</si>
  <si>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</si>
  <si>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</si>
  <si>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</si>
  <si>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</si>
  <si>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</si>
  <si>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</si>
  <si>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</si>
  <si>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</si>
  <si>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</si>
  <si>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</si>
  <si>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</si>
  <si>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</si>
  <si>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</si>
  <si>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</si>
  <si>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</si>
  <si>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</si>
  <si>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</si>
  <si>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</si>
  <si>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</si>
  <si>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</si>
  <si>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</si>
  <si>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</si>
  <si>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</si>
  <si>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</si>
  <si>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</si>
  <si>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</si>
  <si>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</si>
  <si>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</si>
  <si>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</si>
  <si>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</si>
  <si>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</si>
  <si>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</si>
  <si>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</si>
  <si>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</si>
  <si>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</si>
  <si>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</si>
  <si>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</si>
  <si>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</si>
  <si>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</si>
  <si>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</si>
  <si>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</si>
  <si>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</si>
  <si>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</si>
  <si>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</si>
  <si>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</si>
  <si>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</si>
  <si>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</si>
  <si>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</si>
  <si>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</si>
  <si>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</si>
  <si>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</si>
  <si>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</si>
  <si>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</si>
  <si>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</si>
  <si>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</si>
  <si>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</si>
  <si>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</si>
  <si>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</si>
  <si>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</si>
  <si>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</si>
  <si>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</si>
  <si>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</si>
  <si>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</si>
  <si>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</si>
  <si>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</si>
  <si>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</si>
  <si>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</si>
  <si>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</si>
  <si>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</si>
  <si>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</si>
  <si>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</si>
  <si>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</si>
  <si>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</si>
  <si>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</si>
  <si>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</si>
  <si>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</si>
  <si>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</si>
  <si>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</si>
  <si>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</si>
  <si>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</si>
  <si>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</si>
  <si>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</si>
  <si>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</si>
  <si>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</si>
  <si>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</si>
  <si>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</si>
  <si>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</si>
  <si>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</si>
  <si>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</si>
  <si>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</si>
  <si>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</si>
  <si>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</si>
  <si>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</si>
  <si>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</si>
  <si>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</si>
  <si>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</si>
  <si>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</si>
  <si>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</si>
  <si>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</si>
  <si>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</si>
  <si>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</si>
  <si>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</si>
  <si>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</si>
  <si>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</si>
  <si>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</si>
  <si>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</si>
  <si>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</si>
  <si>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</si>
  <si>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</si>
  <si>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</si>
  <si>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</si>
  <si>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</si>
  <si>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</si>
  <si>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</si>
  <si>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</si>
  <si>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</si>
  <si>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</si>
  <si>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</si>
  <si>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</si>
  <si>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</si>
  <si>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</si>
  <si>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</si>
  <si>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</si>
  <si>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</si>
  <si>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</si>
  <si>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</si>
  <si>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</si>
  <si>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</si>
  <si>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</si>
  <si>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</si>
  <si>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</si>
  <si>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</si>
  <si>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</si>
  <si>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</si>
  <si>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</si>
  <si>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</si>
  <si>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</si>
  <si>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</si>
  <si>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</si>
  <si>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</si>
  <si>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</si>
  <si>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</si>
  <si>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</si>
  <si>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</si>
  <si>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</si>
  <si>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</si>
  <si>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</si>
  <si>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</si>
  <si>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</si>
  <si>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</si>
  <si>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</si>
  <si>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</si>
  <si>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</si>
  <si>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</si>
  <si>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</si>
  <si>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</si>
  <si>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</si>
  <si>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</si>
  <si>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</si>
  <si>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</si>
  <si>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</si>
  <si>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</si>
  <si>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</si>
  <si>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</si>
  <si>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</si>
  <si>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</si>
  <si>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</si>
  <si>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</si>
  <si>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</si>
  <si>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</si>
  <si>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</si>
  <si>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</si>
  <si>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</si>
  <si>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</si>
  <si>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</si>
  <si>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</si>
  <si>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</si>
  <si>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</si>
  <si>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</si>
  <si>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</si>
  <si>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</si>
  <si>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</si>
  <si>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</si>
  <si>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</si>
  <si>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</si>
  <si>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</si>
  <si>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</si>
  <si>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</si>
  <si>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</si>
  <si>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</si>
  <si>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</si>
  <si>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</si>
  <si>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</si>
  <si>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</si>
  <si>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</si>
  <si>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</si>
  <si>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</si>
  <si>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</si>
  <si>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</si>
  <si>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</si>
  <si>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</si>
  <si>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</si>
  <si>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</si>
  <si>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</si>
  <si>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</si>
  <si>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</si>
  <si>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</si>
  <si>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</si>
  <si>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</si>
  <si>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</si>
  <si>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</si>
  <si>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</si>
  <si>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</si>
  <si>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</si>
  <si>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</si>
  <si>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</si>
  <si>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</si>
  <si>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</si>
  <si>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</si>
  <si>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</si>
  <si>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</si>
  <si>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</si>
  <si>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</si>
  <si>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</si>
  <si>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</si>
  <si>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</si>
  <si>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</si>
  <si>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</si>
  <si>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</si>
  <si>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</si>
  <si>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</si>
  <si>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</si>
  <si>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</si>
  <si>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</si>
  <si>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</si>
  <si>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</si>
  <si>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</si>
  <si>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</si>
  <si>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</si>
  <si>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</si>
  <si>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</si>
  <si>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</si>
  <si>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</si>
  <si>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</si>
  <si>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</si>
  <si>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</si>
  <si>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</si>
  <si>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</si>
  <si>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</si>
  <si>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</si>
  <si>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</si>
  <si>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</si>
  <si>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</si>
  <si>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</si>
  <si>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</si>
  <si>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</si>
  <si>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</si>
  <si>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</si>
  <si>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</si>
  <si>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</si>
  <si>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</si>
  <si>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</si>
  <si>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</si>
  <si>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</si>
  <si>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</si>
  <si>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</si>
  <si>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</si>
  <si>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</si>
  <si>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</si>
  <si>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</si>
  <si>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</si>
  <si>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</si>
  <si>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</si>
  <si>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</si>
  <si>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</si>
  <si>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</si>
  <si>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</si>
  <si>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</si>
  <si>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</si>
  <si>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</si>
  <si>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</si>
  <si>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</si>
  <si>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</si>
  <si>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</si>
  <si>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</si>
  <si>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</si>
  <si>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</si>
  <si>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</si>
  <si>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</si>
  <si>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</si>
  <si>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</si>
  <si>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</si>
  <si>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</si>
  <si>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</si>
  <si>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</si>
  <si>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</si>
  <si>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</si>
  <si>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</si>
  <si>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</si>
  <si>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</si>
  <si>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</si>
  <si>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</si>
  <si>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</si>
  <si>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</si>
  <si>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</si>
  <si>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</si>
  <si>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</si>
  <si>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</si>
  <si>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</si>
  <si>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</si>
  <si>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</si>
  <si>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</si>
  <si>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</si>
  <si>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</si>
  <si>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</si>
  <si>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</si>
  <si>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</si>
  <si>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</si>
  <si>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</si>
  <si>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</si>
  <si>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</si>
  <si>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</si>
  <si>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</si>
  <si>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</si>
  <si>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</si>
  <si>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</si>
  <si>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</si>
  <si>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</si>
  <si>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</si>
  <si>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</si>
  <si>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</si>
  <si>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</si>
  <si>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</si>
  <si>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</si>
  <si>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</si>
  <si>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</si>
  <si>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</si>
  <si>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</si>
  <si>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</si>
  <si>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</si>
  <si>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</si>
  <si>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</si>
  <si>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</si>
  <si>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</si>
  <si>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</si>
  <si>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</si>
  <si>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</si>
  <si>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</si>
  <si>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</si>
  <si>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</si>
  <si>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</si>
  <si>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</si>
  <si>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</si>
  <si>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</si>
  <si>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</si>
  <si>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</si>
  <si>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</si>
  <si>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</si>
  <si>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</si>
  <si>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</si>
  <si>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</si>
  <si>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</si>
  <si>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</si>
  <si>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</si>
  <si>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</si>
  <si>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</si>
  <si>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</si>
  <si>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</si>
  <si>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</si>
  <si>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</si>
  <si>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</si>
  <si>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</si>
  <si>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</si>
  <si>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</si>
  <si>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</si>
  <si>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</si>
  <si>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</si>
  <si>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</si>
  <si>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</si>
  <si>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</si>
  <si>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</si>
  <si>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</si>
  <si>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</si>
  <si>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</si>
  <si>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</si>
  <si>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</si>
  <si>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</si>
  <si>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</si>
  <si>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</si>
  <si>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</si>
  <si>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</si>
  <si>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</si>
  <si>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</si>
  <si>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</si>
  <si>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</si>
  <si>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</si>
  <si>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</si>
  <si>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</si>
  <si>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</si>
  <si>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</si>
  <si>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</si>
  <si>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</si>
  <si>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</si>
  <si>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</si>
  <si>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</si>
  <si>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</si>
  <si>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</si>
  <si>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</si>
  <si>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</si>
  <si>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</si>
  <si>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</si>
  <si>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</si>
  <si>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</si>
  <si>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</si>
  <si>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</si>
  <si>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</si>
  <si>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</si>
  <si>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</si>
  <si>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</si>
  <si>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</si>
  <si>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</si>
  <si>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</si>
  <si>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</si>
  <si>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</si>
  <si>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</si>
  <si>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</si>
  <si>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</si>
  <si>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</si>
  <si>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</si>
  <si>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</si>
  <si>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</si>
  <si>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</si>
  <si>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</si>
  <si>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</si>
  <si>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</si>
  <si>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</si>
  <si>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</si>
  <si>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</si>
  <si>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</si>
  <si>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</si>
  <si>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</si>
  <si>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</si>
  <si>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</si>
  <si>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</si>
  <si>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</si>
  <si>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</si>
  <si>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</si>
  <si>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</si>
  <si>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</si>
  <si>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</si>
  <si>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</si>
  <si>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</si>
  <si>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</si>
  <si>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</si>
  <si>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</si>
  <si>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</si>
  <si>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</si>
  <si>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</si>
  <si>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</si>
  <si>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</si>
  <si>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</si>
  <si>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</si>
  <si>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</si>
  <si>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</si>
  <si>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</si>
  <si>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</si>
  <si>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</si>
  <si>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</si>
  <si>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</si>
  <si>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</si>
  <si>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</si>
  <si>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</si>
  <si>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</si>
  <si>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</si>
  <si>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</si>
  <si>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</si>
  <si>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</si>
  <si>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</si>
  <si>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</si>
  <si>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</si>
  <si>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</si>
  <si>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</si>
  <si>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</si>
  <si>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</si>
  <si>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</si>
  <si>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</si>
  <si>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</si>
  <si>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</si>
  <si>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</si>
  <si>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</si>
  <si>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</si>
  <si>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</si>
  <si>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</si>
  <si>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</si>
  <si>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</si>
  <si>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</si>
  <si>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</si>
  <si>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</si>
  <si>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</si>
  <si>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</si>
  <si>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</si>
  <si>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</si>
  <si>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</si>
  <si>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</si>
  <si>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</si>
  <si>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</si>
  <si>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</si>
  <si>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</si>
  <si>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</si>
  <si>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</si>
  <si>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</si>
  <si>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</si>
  <si>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</si>
  <si>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</si>
  <si>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</si>
  <si>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</si>
  <si>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</si>
  <si>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</si>
  <si>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</si>
  <si>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</si>
  <si>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</si>
  <si>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</si>
  <si>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</si>
  <si>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</si>
  <si>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</si>
  <si>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</si>
  <si>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</si>
  <si>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</si>
  <si>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</si>
  <si>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</si>
  <si>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</si>
  <si>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</si>
  <si>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</si>
  <si>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</si>
  <si>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</si>
  <si>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</si>
  <si>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</si>
  <si>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</si>
  <si>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</si>
  <si>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</si>
  <si>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</si>
  <si>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</si>
  <si>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</si>
  <si>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</si>
  <si>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</si>
  <si>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</si>
  <si>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</si>
  <si>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</si>
  <si>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</si>
  <si>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</si>
  <si>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</si>
  <si>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</si>
  <si>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</si>
  <si>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</si>
  <si>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</si>
  <si>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</si>
  <si>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</si>
  <si>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</si>
  <si>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</si>
  <si>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</si>
  <si>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</si>
  <si>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</si>
  <si>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</si>
  <si>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</si>
  <si>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</si>
  <si>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</si>
  <si>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</si>
  <si>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</si>
  <si>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</si>
  <si>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</si>
  <si>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</si>
  <si>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</si>
  <si>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</si>
  <si>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</si>
  <si>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</si>
  <si>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</si>
  <si>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</si>
  <si>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</si>
  <si>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</si>
  <si>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</si>
  <si>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</si>
  <si>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</si>
  <si>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</si>
  <si>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</si>
  <si>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</si>
  <si>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</si>
  <si>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</si>
  <si>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</si>
  <si>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</si>
  <si>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</si>
  <si>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</si>
  <si>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</si>
  <si>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</si>
  <si>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</si>
  <si>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</si>
  <si>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</si>
  <si>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</si>
  <si>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</si>
  <si>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</si>
  <si>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</si>
  <si>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</si>
  <si>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</si>
  <si>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</si>
  <si>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</si>
  <si>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</si>
  <si>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</si>
  <si>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</si>
  <si>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</si>
  <si>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</si>
  <si>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</si>
  <si>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</si>
  <si>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</si>
  <si>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</si>
  <si>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</si>
  <si>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</si>
  <si>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</si>
  <si>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</si>
  <si>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</si>
  <si>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</si>
  <si>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</si>
  <si>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</si>
  <si>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</si>
  <si>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</si>
  <si>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</si>
  <si>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</si>
  <si>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</si>
  <si>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</si>
  <si>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</si>
  <si>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</si>
  <si>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</si>
  <si>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</si>
  <si>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</si>
  <si>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</si>
  <si>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</si>
  <si>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</si>
  <si>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</si>
  <si>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</si>
  <si>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</si>
  <si>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</si>
  <si>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</si>
  <si>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</si>
  <si>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</si>
  <si>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</si>
  <si>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</si>
  <si>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</si>
  <si>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</si>
  <si>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</si>
  <si>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</si>
  <si>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</si>
  <si>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</si>
  <si>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</si>
  <si>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</si>
  <si>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</si>
  <si>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</si>
  <si>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</si>
  <si>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</si>
  <si>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</si>
  <si>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</si>
  <si>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</si>
  <si>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</si>
  <si>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</si>
  <si>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</si>
  <si>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</si>
  <si>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</si>
  <si>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</si>
  <si>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</si>
  <si>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</si>
  <si>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</si>
  <si>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</si>
  <si>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</si>
  <si>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</si>
  <si>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</si>
  <si>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</si>
  <si>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</si>
  <si>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</si>
  <si>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</si>
  <si>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</si>
  <si>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</si>
  <si>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</si>
  <si>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</si>
  <si>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</si>
  <si>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</si>
  <si>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</si>
  <si>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</si>
  <si>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</si>
  <si>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</si>
  <si>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</si>
  <si>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</si>
  <si>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</si>
  <si>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</si>
  <si>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</si>
  <si>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</si>
  <si>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</si>
  <si>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</si>
  <si>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</si>
  <si>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</si>
  <si>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</si>
  <si>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</si>
  <si>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</si>
  <si>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</si>
  <si>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</si>
  <si>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</si>
  <si>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</si>
  <si>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</si>
  <si>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</si>
  <si>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</si>
  <si>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</si>
  <si>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</si>
  <si>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</si>
  <si>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</si>
  <si>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</si>
  <si>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</si>
  <si>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</si>
  <si>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</si>
  <si>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</si>
  <si>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</si>
  <si>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</si>
  <si>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</si>
  <si>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</si>
  <si>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</si>
  <si>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</si>
  <si>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</si>
  <si>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</si>
  <si>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</si>
  <si>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</si>
  <si>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</si>
  <si>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</si>
  <si>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</si>
  <si>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</si>
  <si>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</si>
  <si>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</si>
  <si>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</si>
  <si>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</si>
  <si>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</si>
  <si>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</si>
  <si>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</si>
  <si>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</si>
  <si>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</si>
  <si>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</si>
  <si>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</si>
  <si>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</si>
  <si>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</si>
  <si>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</si>
  <si>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</si>
  <si>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</si>
  <si>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</si>
  <si>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</si>
  <si>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</si>
  <si>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</si>
  <si>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</si>
  <si>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</si>
  <si>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</si>
  <si>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</si>
  <si>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</si>
  <si>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</si>
  <si>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</si>
  <si>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</si>
  <si>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</si>
  <si>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</si>
  <si>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</si>
  <si>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</si>
  <si>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</si>
  <si>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</si>
  <si>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</si>
  <si>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</si>
  <si>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</si>
  <si>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</si>
  <si>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</si>
  <si>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</si>
  <si>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</si>
  <si>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</si>
  <si>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</si>
  <si>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</si>
  <si>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</si>
  <si>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</si>
  <si>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</si>
  <si>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</si>
  <si>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</si>
  <si>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</si>
  <si>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</si>
  <si>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</si>
  <si>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</si>
  <si>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</si>
  <si>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</si>
  <si>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</si>
  <si>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</si>
  <si>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</si>
  <si>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</si>
  <si>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</si>
  <si>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</si>
  <si>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</si>
  <si>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</si>
  <si>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</si>
  <si>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</si>
  <si>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</si>
  <si>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</si>
  <si>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</si>
  <si>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</si>
  <si>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</si>
  <si>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</si>
  <si>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</si>
  <si>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</si>
  <si>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</si>
  <si>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</si>
  <si>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</si>
  <si>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</si>
  <si>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</si>
  <si>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</si>
  <si>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</si>
  <si>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</si>
  <si>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</si>
  <si>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</si>
  <si>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</si>
  <si>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</si>
  <si>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</si>
  <si>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</si>
  <si>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</si>
  <si>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</si>
  <si>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</si>
  <si>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</si>
  <si>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</si>
  <si>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</si>
  <si>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</si>
  <si>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</si>
  <si>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</si>
  <si>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</si>
  <si>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</si>
  <si>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</si>
  <si>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</si>
  <si>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</si>
  <si>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</si>
  <si>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</si>
  <si>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</si>
  <si>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</si>
  <si>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</si>
  <si>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</si>
  <si>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</si>
  <si>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</si>
  <si>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</si>
  <si>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</si>
  <si>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</si>
  <si>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</si>
  <si>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</si>
  <si>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</si>
  <si>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</si>
  <si>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</si>
  <si>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</si>
  <si>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</si>
  <si>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</si>
  <si>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</si>
  <si>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</si>
  <si>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</si>
  <si>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</si>
  <si>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</si>
  <si>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</si>
  <si>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</si>
  <si>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</si>
  <si>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</si>
  <si>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</si>
  <si>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</si>
  <si>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</si>
  <si>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</si>
  <si>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</si>
  <si>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</si>
  <si>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</si>
  <si>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</si>
  <si>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</si>
  <si>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</si>
  <si>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</si>
  <si>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</si>
  <si>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</si>
  <si>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</si>
  <si>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</si>
  <si>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</si>
  <si>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</si>
  <si>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</si>
  <si>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</si>
  <si>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</si>
  <si>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</si>
  <si>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</si>
  <si>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</si>
  <si>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</si>
  <si>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</si>
  <si>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</si>
  <si>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</si>
  <si>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</si>
  <si>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</si>
  <si>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</si>
  <si>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</si>
  <si>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</si>
  <si>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</si>
  <si>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</si>
  <si>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</si>
  <si>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</si>
  <si>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</si>
  <si>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</si>
  <si>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</si>
  <si>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</si>
  <si>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</si>
  <si>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</si>
  <si>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</si>
  <si>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</si>
  <si>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</si>
  <si>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</si>
  <si>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</si>
  <si>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</si>
  <si>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</si>
  <si>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</si>
  <si>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</si>
  <si>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</si>
  <si>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</si>
  <si>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</si>
  <si>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</si>
  <si>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</si>
  <si>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</si>
  <si>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</si>
  <si>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</si>
  <si>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</si>
  <si>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</si>
  <si>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</si>
  <si>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</si>
  <si>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</si>
  <si>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</si>
  <si>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</si>
  <si>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</si>
  <si>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</si>
  <si>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</si>
  <si>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</si>
  <si>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</si>
  <si>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</si>
  <si>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</si>
  <si>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</si>
  <si>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</si>
  <si>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</si>
  <si>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</si>
  <si>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</si>
  <si>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</si>
  <si>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</si>
  <si>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</si>
  <si>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</si>
  <si>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</si>
  <si>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</si>
  <si>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</si>
  <si>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</si>
  <si>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</si>
  <si>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</si>
  <si>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</si>
  <si>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</si>
  <si>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</si>
  <si>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</si>
  <si>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</si>
  <si>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</si>
  <si>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</si>
  <si>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</si>
  <si>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</si>
  <si>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</si>
  <si>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</si>
  <si>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</si>
  <si>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</si>
  <si>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</si>
  <si>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</si>
  <si>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</si>
  <si>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</si>
  <si>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</si>
  <si>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</si>
  <si>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</si>
  <si>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</si>
  <si>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</si>
  <si>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</si>
  <si>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</si>
  <si>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</si>
  <si>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</si>
  <si>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</si>
  <si>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</si>
  <si>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</si>
  <si>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</si>
  <si>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</si>
  <si>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</si>
  <si>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</si>
  <si>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</si>
  <si>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</si>
  <si>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</si>
  <si>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</si>
  <si>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</si>
  <si>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</si>
  <si>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</si>
  <si>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</si>
  <si>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</si>
  <si>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</si>
  <si>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</si>
  <si>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</si>
  <si>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</si>
  <si>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</si>
  <si>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</si>
  <si>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</si>
  <si>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</si>
  <si>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</si>
  <si>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</si>
  <si>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</si>
  <si>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</si>
  <si>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</si>
  <si>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</si>
  <si>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</si>
  <si>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</si>
  <si>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</si>
  <si>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</si>
  <si>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</si>
  <si>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</si>
  <si>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</si>
  <si>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</si>
  <si>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</si>
  <si>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</si>
  <si>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</si>
  <si>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</si>
  <si>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</si>
  <si>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</si>
  <si>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</si>
  <si>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</si>
  <si>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</si>
  <si>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</si>
  <si>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</si>
  <si>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</si>
  <si>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</si>
  <si>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</si>
  <si>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</si>
  <si>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</si>
  <si>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</si>
  <si>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</si>
  <si>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</si>
  <si>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</si>
  <si>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</si>
  <si>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</si>
  <si>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</si>
  <si>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</si>
  <si>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</si>
  <si>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</si>
  <si>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</si>
  <si>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</si>
  <si>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</si>
  <si>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</si>
  <si>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</si>
  <si>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</si>
  <si>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</si>
  <si>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</si>
  <si>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</si>
  <si>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</si>
  <si>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</si>
  <si>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</si>
  <si>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</si>
  <si>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</si>
  <si>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</si>
  <si>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</si>
  <si>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</si>
  <si>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</si>
  <si>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</si>
  <si>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</si>
  <si>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</si>
  <si>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</si>
  <si>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</si>
  <si>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</si>
  <si>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</si>
  <si>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</si>
  <si>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</si>
  <si>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</si>
  <si>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</si>
  <si>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</si>
  <si>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</si>
  <si>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</si>
  <si>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</si>
  <si>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</si>
  <si>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</si>
  <si>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</si>
  <si>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</si>
  <si>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</si>
  <si>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</si>
  <si>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</si>
  <si>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</si>
  <si>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</si>
  <si>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</si>
  <si>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</si>
  <si>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</si>
  <si>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</si>
  <si>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</si>
  <si>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</si>
  <si>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</si>
  <si>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</si>
  <si>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</si>
  <si>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</si>
  <si>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</si>
  <si>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</si>
  <si>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</si>
  <si>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</si>
  <si>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</si>
  <si>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</si>
  <si>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</si>
  <si>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</si>
  <si>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</si>
  <si>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</si>
  <si>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</si>
  <si>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</si>
  <si>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</si>
  <si>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</si>
  <si>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</si>
  <si>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</si>
  <si>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</si>
  <si>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</si>
  <si>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</si>
  <si>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</si>
  <si>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</si>
  <si>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</si>
  <si>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</si>
  <si>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</si>
  <si>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</si>
  <si>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</si>
  <si>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</si>
  <si>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</si>
  <si>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</si>
  <si>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</si>
  <si>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</si>
  <si>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</si>
  <si>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</si>
  <si>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</si>
  <si>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</si>
  <si>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</si>
  <si>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</si>
  <si>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</si>
  <si>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</si>
  <si>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</si>
  <si>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</si>
  <si>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</si>
  <si>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</si>
  <si>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</si>
  <si>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</si>
  <si>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</si>
  <si>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</si>
  <si>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</si>
  <si>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</si>
  <si>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</si>
  <si>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</si>
  <si>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</si>
  <si>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</si>
  <si>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</si>
  <si>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</si>
  <si>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</si>
  <si>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</si>
  <si>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</si>
  <si>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</si>
  <si>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</si>
  <si>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</si>
  <si>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</si>
  <si>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</si>
  <si>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</si>
  <si>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</si>
  <si>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</si>
  <si>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</si>
  <si>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</si>
  <si>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</si>
  <si>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</si>
  <si>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</si>
  <si>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</si>
  <si>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</si>
  <si>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</si>
  <si>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</si>
  <si>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</si>
  <si>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</si>
  <si>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</si>
  <si>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</si>
  <si>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</si>
  <si>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</si>
  <si>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</si>
  <si>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</si>
  <si>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</si>
  <si>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</si>
  <si>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</si>
  <si>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</si>
  <si>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</si>
  <si>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</si>
  <si>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</si>
  <si>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</si>
  <si>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</si>
  <si>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</si>
  <si>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</si>
  <si>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</si>
  <si>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</si>
  <si>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</si>
  <si>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</si>
  <si>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</si>
  <si>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</si>
  <si>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</si>
  <si>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</si>
  <si>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</si>
  <si>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</si>
  <si>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</si>
  <si>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</si>
  <si>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</si>
  <si>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</si>
  <si>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</si>
  <si>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</si>
  <si>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</si>
  <si>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</si>
  <si>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</si>
  <si>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</si>
  <si>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</si>
  <si>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</si>
  <si>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</si>
  <si>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</si>
  <si>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</si>
  <si>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</si>
  <si>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</si>
  <si>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</si>
  <si>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</si>
  <si>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</si>
  <si>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</si>
  <si>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</si>
  <si>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</si>
  <si>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</si>
  <si>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</si>
  <si>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</si>
  <si>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</si>
  <si>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</si>
  <si>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</si>
  <si>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</si>
  <si>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</si>
  <si>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</si>
  <si>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</si>
  <si>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</si>
  <si>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</si>
  <si>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</si>
  <si>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</si>
  <si>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</si>
  <si>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</si>
  <si>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</si>
  <si>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</si>
  <si>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</si>
  <si>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</si>
  <si>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</si>
  <si>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</si>
  <si>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</si>
  <si>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</si>
  <si>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</si>
  <si>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</si>
  <si>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</si>
  <si>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</si>
  <si>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</si>
  <si>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</si>
  <si>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</si>
  <si>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</si>
  <si>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</si>
  <si>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</si>
  <si>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</si>
  <si>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</si>
  <si>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</si>
  <si>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</si>
  <si>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</si>
  <si>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</si>
  <si>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</si>
  <si>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</si>
  <si>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</si>
  <si>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</si>
  <si>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</si>
  <si>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</si>
  <si>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</si>
  <si>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</si>
  <si>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</si>
  <si>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</si>
  <si>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</si>
  <si>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</si>
  <si>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</si>
  <si>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</si>
  <si>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</si>
  <si>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</si>
  <si>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</si>
  <si>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</si>
  <si>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</si>
  <si>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</si>
  <si>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</si>
  <si>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</si>
  <si>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</si>
  <si>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</si>
  <si>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</si>
  <si>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</si>
  <si>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</si>
  <si>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</si>
  <si>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</si>
  <si>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</si>
  <si>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</si>
  <si>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</si>
  <si>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</si>
  <si>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</si>
  <si>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</si>
  <si>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</si>
  <si>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</si>
  <si>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</si>
  <si>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</si>
  <si>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</si>
  <si>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</si>
  <si>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</si>
  <si>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</si>
  <si>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</si>
  <si>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</si>
  <si>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</si>
  <si>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</si>
  <si>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</si>
  <si>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</si>
  <si>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</si>
  <si>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</si>
  <si>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</si>
  <si>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</si>
  <si>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</si>
  <si>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</si>
  <si>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</si>
  <si>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</si>
  <si>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</si>
  <si>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</si>
  <si>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</si>
  <si>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</si>
  <si>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</si>
  <si>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</si>
  <si>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</si>
  <si>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</si>
  <si>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</si>
  <si>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</si>
  <si>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</si>
  <si>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</si>
  <si>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</si>
  <si>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</si>
  <si>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</si>
  <si>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</si>
  <si>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</si>
  <si>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</si>
  <si>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</si>
  <si>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</si>
  <si>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</si>
  <si>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</si>
  <si>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</si>
  <si>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</si>
  <si>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</si>
  <si>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</si>
  <si>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</si>
  <si>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</si>
  <si>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</si>
  <si>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</si>
  <si>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</si>
  <si>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</si>
  <si>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</si>
  <si>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</si>
  <si>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</si>
  <si>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</si>
  <si>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</si>
  <si>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</si>
  <si>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</si>
  <si>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</si>
  <si>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</si>
  <si>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</si>
  <si>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</si>
  <si>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</si>
  <si>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</si>
  <si>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</si>
  <si>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</si>
  <si>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</si>
  <si>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</si>
  <si>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</si>
  <si>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</si>
  <si>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</si>
  <si>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</si>
  <si>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</si>
  <si>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</si>
  <si>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</si>
  <si>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</si>
  <si>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</si>
  <si>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</si>
  <si>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</si>
  <si>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</si>
  <si>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</si>
  <si>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</si>
  <si>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</si>
  <si>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</si>
  <si>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</si>
  <si>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</si>
  <si>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</si>
  <si>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</si>
  <si>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</si>
  <si>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</si>
  <si>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</si>
  <si>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</si>
  <si>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</si>
  <si>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</si>
  <si>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</si>
  <si>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</si>
  <si>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</si>
  <si>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</si>
  <si>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</si>
  <si>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</si>
  <si>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</si>
  <si>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</si>
  <si>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</si>
  <si>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</si>
  <si>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</si>
  <si>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</si>
  <si>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</si>
  <si>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</si>
  <si>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</si>
  <si>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</si>
  <si>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</si>
  <si>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</si>
  <si>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</si>
  <si>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</si>
  <si>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</si>
  <si>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</si>
  <si>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</si>
  <si>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</si>
  <si>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</si>
  <si>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</si>
  <si>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</si>
  <si>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</si>
  <si>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</si>
  <si>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</si>
  <si>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</si>
  <si>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</si>
  <si>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</si>
  <si>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</si>
  <si>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</si>
  <si>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</si>
  <si>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</si>
  <si>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</si>
  <si>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</si>
  <si>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</si>
  <si>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</si>
  <si>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</si>
  <si>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</si>
  <si>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</si>
  <si>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</si>
  <si>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</si>
  <si>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</si>
  <si>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</si>
  <si>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</si>
  <si>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</si>
  <si>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</si>
  <si>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</si>
  <si>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</si>
  <si>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</si>
  <si>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</si>
  <si>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</si>
  <si>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</si>
  <si>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</si>
  <si>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</si>
  <si>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</si>
  <si>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</si>
  <si>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</si>
  <si>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</si>
  <si>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</si>
  <si>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</si>
  <si>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data_quality_flag</t>
  </si>
  <si>
    <t>Unknown</t>
  </si>
  <si>
    <t>cleaned_discount</t>
  </si>
  <si>
    <t>calculated_sales</t>
  </si>
  <si>
    <t>Summary</t>
  </si>
  <si>
    <t>Flag - Invalid Discount</t>
  </si>
  <si>
    <t>Valid</t>
  </si>
  <si>
    <t xml:space="preserve">Sales Summary exluding Pending, Returned  or refunded orders. </t>
  </si>
  <si>
    <t>calculated_profit</t>
  </si>
  <si>
    <t>profit_margins</t>
  </si>
  <si>
    <t>order_month</t>
  </si>
  <si>
    <t>order_year</t>
  </si>
  <si>
    <t>shipping_delay_days</t>
  </si>
  <si>
    <t>Invalid: Ship date before order date</t>
  </si>
  <si>
    <t>ship_date_flag</t>
  </si>
  <si>
    <t>duplicate_orders</t>
  </si>
  <si>
    <t>Refunded orders total</t>
  </si>
  <si>
    <t>Financial mismatch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</si>
</sst>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1"/>
      <color rgb="FFFFFFFF"/>
      <name val="Carlito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0" fontId="0" fillId="3" borderId="0" xfId="0" applyFill="1"/>
    <xf numFmtId="2" fontId="0" fillId="0" borderId="0" xfId="0" applyNumberFormat="1"/>
    <xf numFmtId="0" fontId="2" fillId="0" borderId="0" xfId="0" applyFont="1"/>
    <xf numFmtId="0" fontId="2" fillId="3" borderId="0" xfId="0" applyFont="1" applyFill="1"/>
    <xf numFmtId="9" fontId="0" fillId="0" borderId="0" xfId="1" applyFont="1"/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F59C5-5851-5B43-B081-EE8FC74AA6E8}">
  <dimension ref="A1:AH913"/>
  <sheetViews>
    <sheetView tabSelected="1" topLeftCell="J1" zoomScale="93" workbookViewId="0">
      <selection activeCell="S8" sqref="S8"/>
    </sheetView>
  </sheetViews>
  <sheetFormatPr baseColWidth="10" defaultRowHeight="16"/>
  <cols>
    <col min="1" max="1" width="19.6640625" customWidth="1"/>
    <col min="2" max="2" width="18.6640625" bestFit="1" customWidth="1"/>
    <col min="3" max="3" width="15.33203125" bestFit="1" customWidth="1"/>
    <col min="4" max="4" width="10.6640625" style="2" bestFit="1" customWidth="1"/>
    <col min="5" max="5" width="14.6640625" style="2" bestFit="1" customWidth="1"/>
    <col min="6" max="6" width="15.5" style="2" bestFit="1" customWidth="1"/>
    <col min="7" max="7" width="10.5" style="2" bestFit="1" customWidth="1"/>
    <col min="9" max="9" width="15.6640625" bestFit="1" customWidth="1"/>
    <col min="10" max="10" width="29.6640625" bestFit="1" customWidth="1"/>
    <col min="11" max="11" width="15.5" bestFit="1" customWidth="1"/>
    <col min="12" max="12" width="14.83203125" bestFit="1" customWidth="1"/>
    <col min="13" max="13" width="11.33203125" bestFit="1" customWidth="1"/>
    <col min="14" max="14" width="14.33203125" bestFit="1" customWidth="1"/>
    <col min="15" max="15" width="12.1640625" bestFit="1" customWidth="1"/>
    <col min="16" max="16" width="15.1640625" bestFit="1" customWidth="1"/>
    <col min="17" max="17" width="17" bestFit="1" customWidth="1"/>
    <col min="18" max="18" width="20.6640625" bestFit="1" customWidth="1"/>
    <col min="19" max="19" width="15.6640625" bestFit="1" customWidth="1"/>
    <col min="22" max="23" width="17.6640625" customWidth="1"/>
    <col min="25" max="25" width="19.6640625" bestFit="1" customWidth="1"/>
    <col min="28" max="28" width="15.1640625" bestFit="1" customWidth="1"/>
    <col min="29" max="29" width="15.33203125" bestFit="1" customWidth="1"/>
    <col min="32" max="32" width="52.83203125" bestFit="1" customWidth="1"/>
    <col min="33" max="33" width="21.83203125" customWidth="1"/>
  </cols>
  <sheetData>
    <row r="1" spans="1:34" ht="32">
      <c r="A1" s="1" t="s">
        <v>2789</v>
      </c>
      <c r="B1" s="1" t="s">
        <v>2804</v>
      </c>
      <c r="C1" s="1" t="s">
        <v>0</v>
      </c>
      <c r="D1" s="3" t="s">
        <v>1</v>
      </c>
      <c r="E1" s="3" t="s">
        <v>2799</v>
      </c>
      <c r="F1" s="3" t="s">
        <v>2800</v>
      </c>
      <c r="G1" s="3" t="s">
        <v>2</v>
      </c>
      <c r="H1" s="1" t="s">
        <v>3</v>
      </c>
      <c r="I1" s="1" t="s">
        <v>2801</v>
      </c>
      <c r="J1" s="1" t="s">
        <v>2803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2791</v>
      </c>
      <c r="X1" s="1" t="s">
        <v>16</v>
      </c>
      <c r="Y1" s="1" t="s">
        <v>2792</v>
      </c>
      <c r="Z1" s="1" t="s">
        <v>17</v>
      </c>
      <c r="AA1" s="1" t="s">
        <v>18</v>
      </c>
      <c r="AB1" s="1" t="s">
        <v>2797</v>
      </c>
      <c r="AC1" s="1" t="s">
        <v>2798</v>
      </c>
      <c r="AD1" s="1" t="s">
        <v>19</v>
      </c>
      <c r="AE1" s="1" t="s">
        <v>20</v>
      </c>
      <c r="AF1" s="1" t="s">
        <v>2806</v>
      </c>
      <c r="AH1" s="1" t="s">
        <v>2793</v>
      </c>
    </row>
    <row r="2" spans="1:34">
      <c r="A2" t="str">
        <f>IF(OR(I2&lt;0, ISTEXT(W2), ISTEXT(Y2)), "Invalid", IF(OR(B2="Conflicting Duplicate", M2="Unknown", S2="Unknown"), "Warning", "Valid"))</f>
        <v>Valid</v>
      </c>
      <c r="B2" t="str">
        <f>IF(COUNTIF(C:C, C2)&gt;1, "Conflicting Duplicate", "-")</f>
        <v>-</v>
      </c>
      <c r="C2" t="s">
        <v>21</v>
      </c>
      <c r="D2" s="2">
        <v>45494</v>
      </c>
      <c r="E2" t="str">
        <f>TEXT(D2, "mmmm")</f>
        <v>July</v>
      </c>
      <c r="F2">
        <f>YEAR(D2)</f>
        <v>2024</v>
      </c>
      <c r="G2" s="2">
        <v>45500</v>
      </c>
      <c r="H2" t="s">
        <v>22</v>
      </c>
      <c r="I2">
        <f>G2-D2</f>
        <v>6</v>
      </c>
      <c r="J2" t="s">
        <v>2795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8</v>
      </c>
      <c r="U2">
        <v>2976.45</v>
      </c>
      <c r="V2">
        <v>0.2</v>
      </c>
      <c r="W2">
        <v>0.2</v>
      </c>
      <c r="X2">
        <v>19049.28</v>
      </c>
      <c r="Y2">
        <f t="shared" ref="Y2:Y65" si="0">IF(ISTEXT(W2), "Cannot Calculate", ROUND(T2 * U2 * (1 - W2), 2))</f>
        <v>19049.28</v>
      </c>
      <c r="Z2">
        <v>15841.89</v>
      </c>
      <c r="AA2">
        <v>3207.39</v>
      </c>
      <c r="AB2">
        <f>IF(ISTEXT(Y2), "Cannot Calculate", Y2 - Z2)</f>
        <v>3207.3899999999994</v>
      </c>
      <c r="AC2" s="8">
        <f>IFERROR(AB2 / Y2, 0)</f>
        <v>0.16837329284886357</v>
      </c>
      <c r="AD2" t="s">
        <v>32</v>
      </c>
      <c r="AE2" t="s">
        <v>33</v>
      </c>
      <c r="AF2" t="str">
        <f>IF(OR(ISTEXT(Z2), ISTEXT(AB2)), "Calculation Blocked", IF(OR(ROUND(X2, 2) &lt;&gt; ROUND(Y2, 2), ROUND(AA2, 2) &lt;&gt; ROUND(AB2, 2)), "Mismatch Found", "Perfect Match"))</f>
        <v>Perfect Match</v>
      </c>
      <c r="AG2" t="s">
        <v>2796</v>
      </c>
      <c r="AH2">
        <f>SUMIFS(Y:Y, AD:AD, "Paid", AE:AE, "completed")</f>
        <v>5638900.129999999</v>
      </c>
    </row>
    <row r="3" spans="1:34">
      <c r="A3" t="str">
        <f>IF(OR(I3&lt;0, ISTEXT(W3), ISTEXT(Y3)), "Invalid", IF(OR(B3="Conflicting Duplicate", M3="Unknown", S3="Unknown"), "Warning", "Valid"))</f>
        <v>Valid</v>
      </c>
      <c r="B3" t="str">
        <f t="shared" ref="B3:B66" si="1">IF(COUNTIF(C:C, C3)&gt;1, "Conflicting Duplicate", "-")</f>
        <v>-</v>
      </c>
      <c r="C3" t="s">
        <v>34</v>
      </c>
      <c r="D3" s="2">
        <v>45535</v>
      </c>
      <c r="E3" t="str">
        <f t="shared" ref="E3:E66" si="2">TEXT(D3, "mmmm")</f>
        <v>August</v>
      </c>
      <c r="F3">
        <f t="shared" ref="F3:F66" si="3">YEAR(D3)</f>
        <v>2024</v>
      </c>
      <c r="G3" s="2">
        <v>45540</v>
      </c>
      <c r="H3" t="s">
        <v>35</v>
      </c>
      <c r="I3">
        <f t="shared" ref="I3:I66" si="4">G3-D3</f>
        <v>5</v>
      </c>
      <c r="J3" t="s">
        <v>2795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>
        <v>3</v>
      </c>
      <c r="U3">
        <v>2437.5</v>
      </c>
      <c r="V3">
        <v>0</v>
      </c>
      <c r="W3">
        <v>0</v>
      </c>
      <c r="X3">
        <v>7312.5</v>
      </c>
      <c r="Y3">
        <f t="shared" si="0"/>
        <v>7312.5</v>
      </c>
      <c r="Z3">
        <v>4904.7299999999996</v>
      </c>
      <c r="AA3">
        <v>2407.77</v>
      </c>
      <c r="AB3">
        <f t="shared" ref="AB3:AB66" si="5">IF(ISTEXT(Y3), "Cannot Calculate", Y3 - Z3)</f>
        <v>2407.7700000000004</v>
      </c>
      <c r="AC3" s="8">
        <f t="shared" ref="AC3:AC66" si="6">IFERROR(AB3 / Y3, 0)</f>
        <v>0.32926769230769237</v>
      </c>
      <c r="AD3" t="s">
        <v>32</v>
      </c>
      <c r="AE3" t="s">
        <v>33</v>
      </c>
      <c r="AF3" t="str">
        <f t="shared" ref="AF3:AF66" si="7">IF(OR(ISTEXT(Z3), ISTEXT(AB3)), "Calculation Blocked", IF(OR(ROUND(X3, 2) &lt;&gt; ROUND(Y3, 2), ROUND(AA3, 2) &lt;&gt; ROUND(AB3, 2)), "Mismatch Found", "Perfect Match"))</f>
        <v>Perfect Match</v>
      </c>
      <c r="AG3" t="s">
        <v>2805</v>
      </c>
      <c r="AH3">
        <f>SUMIFS(Y:Y, AD:AD, "Refunded")</f>
        <v>659187.5399999998</v>
      </c>
    </row>
    <row r="4" spans="1:34">
      <c r="A4" s="6" t="str">
        <f>IF(OR(I4&lt;0, ISTEXT(W4), ISTEXT(Y4)), "Invalid", IF(OR(B4="Conflicting Duplicate", M4="Unknown", S4="Unknown"), "Warning", "Valid"))</f>
        <v>Invalid</v>
      </c>
      <c r="B4" t="str">
        <f t="shared" si="1"/>
        <v>-</v>
      </c>
      <c r="C4" t="s">
        <v>45</v>
      </c>
      <c r="D4" s="2">
        <v>45451</v>
      </c>
      <c r="E4" t="str">
        <f t="shared" si="2"/>
        <v>June</v>
      </c>
      <c r="F4">
        <f t="shared" si="3"/>
        <v>2024</v>
      </c>
      <c r="G4" s="2">
        <v>45458</v>
      </c>
      <c r="H4" t="s">
        <v>46</v>
      </c>
      <c r="I4">
        <f t="shared" si="4"/>
        <v>7</v>
      </c>
      <c r="J4" t="s">
        <v>2795</v>
      </c>
      <c r="K4" t="s">
        <v>47</v>
      </c>
      <c r="L4" t="s">
        <v>24</v>
      </c>
      <c r="M4" t="s">
        <v>38</v>
      </c>
      <c r="N4" t="s">
        <v>39</v>
      </c>
      <c r="O4" t="s">
        <v>40</v>
      </c>
      <c r="P4" t="s">
        <v>28</v>
      </c>
      <c r="Q4" t="s">
        <v>48</v>
      </c>
      <c r="R4" t="s">
        <v>49</v>
      </c>
      <c r="S4" t="s">
        <v>50</v>
      </c>
      <c r="T4">
        <v>4</v>
      </c>
      <c r="U4">
        <v>1065.43</v>
      </c>
      <c r="V4">
        <v>0.55000000000000004</v>
      </c>
      <c r="W4" s="4" t="s">
        <v>2794</v>
      </c>
      <c r="X4">
        <v>4261.72</v>
      </c>
      <c r="Y4" s="4" t="str">
        <f t="shared" si="0"/>
        <v>Cannot Calculate</v>
      </c>
      <c r="Z4">
        <v>2465.69</v>
      </c>
      <c r="AA4">
        <v>1796.03</v>
      </c>
      <c r="AB4" s="4" t="str">
        <f t="shared" si="5"/>
        <v>Cannot Calculate</v>
      </c>
      <c r="AC4" s="9">
        <f t="shared" si="6"/>
        <v>0</v>
      </c>
      <c r="AD4" t="s">
        <v>32</v>
      </c>
      <c r="AE4" t="s">
        <v>33</v>
      </c>
      <c r="AF4" t="str">
        <f t="shared" si="7"/>
        <v>Calculation Blocked</v>
      </c>
    </row>
    <row r="5" spans="1:34">
      <c r="A5" t="str">
        <f>IF(OR(I5&lt;0, ISTEXT(W5), ISTEXT(Y5)), "Invalid", IF(OR(B5="Conflicting Duplicate", M5="Unknown", S5="Unknown"), "Warning", "Valid"))</f>
        <v>Valid</v>
      </c>
      <c r="B5" t="str">
        <f t="shared" si="1"/>
        <v>-</v>
      </c>
      <c r="C5" t="s">
        <v>51</v>
      </c>
      <c r="D5" s="2">
        <v>45624</v>
      </c>
      <c r="E5" t="str">
        <f t="shared" si="2"/>
        <v>November</v>
      </c>
      <c r="F5">
        <f t="shared" si="3"/>
        <v>2024</v>
      </c>
      <c r="G5" s="2">
        <v>45625</v>
      </c>
      <c r="H5" t="s">
        <v>52</v>
      </c>
      <c r="I5">
        <f t="shared" si="4"/>
        <v>1</v>
      </c>
      <c r="J5" t="s">
        <v>2795</v>
      </c>
      <c r="K5" t="s">
        <v>53</v>
      </c>
      <c r="L5" t="s">
        <v>37</v>
      </c>
      <c r="M5" t="s">
        <v>54</v>
      </c>
      <c r="N5" t="s">
        <v>55</v>
      </c>
      <c r="O5" t="s">
        <v>56</v>
      </c>
      <c r="P5" t="s">
        <v>41</v>
      </c>
      <c r="Q5" t="s">
        <v>57</v>
      </c>
      <c r="R5" t="s">
        <v>58</v>
      </c>
      <c r="S5" t="s">
        <v>59</v>
      </c>
      <c r="T5">
        <v>6</v>
      </c>
      <c r="U5">
        <v>1848.43</v>
      </c>
      <c r="V5">
        <v>0.25</v>
      </c>
      <c r="W5">
        <v>0.25</v>
      </c>
      <c r="X5">
        <v>8317.93</v>
      </c>
      <c r="Y5">
        <f t="shared" si="0"/>
        <v>8317.94</v>
      </c>
      <c r="Z5">
        <v>6796.77</v>
      </c>
      <c r="AA5">
        <v>1521.16</v>
      </c>
      <c r="AB5">
        <f t="shared" si="5"/>
        <v>1521.17</v>
      </c>
      <c r="AC5" s="8">
        <f t="shared" si="6"/>
        <v>0.18287821263437823</v>
      </c>
      <c r="AD5" t="s">
        <v>32</v>
      </c>
      <c r="AE5" t="s">
        <v>33</v>
      </c>
      <c r="AF5" t="str">
        <f t="shared" si="7"/>
        <v>Mismatch Found</v>
      </c>
    </row>
    <row r="6" spans="1:34">
      <c r="A6" t="str">
        <f>IF(OR(I6&lt;0, ISTEXT(W6), ISTEXT(Y6)), "Invalid", IF(OR(B6="Conflicting Duplicate", M6="Unknown", S6="Unknown"), "Warning", "Valid"))</f>
        <v>Valid</v>
      </c>
      <c r="B6" t="str">
        <f t="shared" si="1"/>
        <v>-</v>
      </c>
      <c r="C6" t="s">
        <v>69</v>
      </c>
      <c r="D6" s="2">
        <v>45436</v>
      </c>
      <c r="E6" t="str">
        <f t="shared" si="2"/>
        <v>May</v>
      </c>
      <c r="F6">
        <f t="shared" si="3"/>
        <v>2024</v>
      </c>
      <c r="G6" s="2">
        <v>45440</v>
      </c>
      <c r="H6" t="s">
        <v>70</v>
      </c>
      <c r="I6">
        <f t="shared" si="4"/>
        <v>4</v>
      </c>
      <c r="J6" t="s">
        <v>2795</v>
      </c>
      <c r="K6" t="s">
        <v>71</v>
      </c>
      <c r="L6" t="s">
        <v>37</v>
      </c>
      <c r="M6" t="s">
        <v>63</v>
      </c>
      <c r="N6" t="s">
        <v>72</v>
      </c>
      <c r="O6" t="s">
        <v>73</v>
      </c>
      <c r="P6" t="s">
        <v>74</v>
      </c>
      <c r="Q6" t="s">
        <v>75</v>
      </c>
      <c r="R6" t="s">
        <v>76</v>
      </c>
      <c r="S6" t="s">
        <v>44</v>
      </c>
      <c r="T6">
        <v>3</v>
      </c>
      <c r="U6">
        <v>1053.1099999999999</v>
      </c>
      <c r="V6">
        <v>0.2</v>
      </c>
      <c r="W6">
        <v>0.2</v>
      </c>
      <c r="X6">
        <v>2527.46</v>
      </c>
      <c r="Y6">
        <f t="shared" si="0"/>
        <v>2527.46</v>
      </c>
      <c r="Z6">
        <v>1533.58</v>
      </c>
      <c r="AA6">
        <v>993.88</v>
      </c>
      <c r="AB6">
        <f t="shared" si="5"/>
        <v>993.88000000000011</v>
      </c>
      <c r="AC6" s="8">
        <f t="shared" si="6"/>
        <v>0.39323273167527878</v>
      </c>
      <c r="AD6" t="s">
        <v>32</v>
      </c>
      <c r="AE6" t="s">
        <v>33</v>
      </c>
      <c r="AF6" t="str">
        <f t="shared" si="7"/>
        <v>Perfect Match</v>
      </c>
    </row>
    <row r="7" spans="1:34">
      <c r="A7" t="str">
        <f>IF(OR(I7&lt;0, ISTEXT(W7), ISTEXT(Y7)), "Invalid", IF(OR(B7="Conflicting Duplicate", M7="Unknown", S7="Unknown"), "Warning", "Valid"))</f>
        <v>Valid</v>
      </c>
      <c r="B7" t="str">
        <f t="shared" si="1"/>
        <v>-</v>
      </c>
      <c r="C7" t="s">
        <v>87</v>
      </c>
      <c r="D7" s="2">
        <v>45601</v>
      </c>
      <c r="E7" t="str">
        <f t="shared" si="2"/>
        <v>November</v>
      </c>
      <c r="F7">
        <f t="shared" si="3"/>
        <v>2024</v>
      </c>
      <c r="G7" s="2">
        <v>45606</v>
      </c>
      <c r="H7" t="s">
        <v>88</v>
      </c>
      <c r="I7">
        <f t="shared" si="4"/>
        <v>5</v>
      </c>
      <c r="J7" t="s">
        <v>2795</v>
      </c>
      <c r="K7" t="s">
        <v>89</v>
      </c>
      <c r="L7" t="s">
        <v>90</v>
      </c>
      <c r="M7" t="s">
        <v>54</v>
      </c>
      <c r="N7" t="s">
        <v>55</v>
      </c>
      <c r="O7" t="s">
        <v>56</v>
      </c>
      <c r="P7" t="s">
        <v>28</v>
      </c>
      <c r="Q7" t="s">
        <v>91</v>
      </c>
      <c r="R7" t="s">
        <v>92</v>
      </c>
      <c r="S7" t="s">
        <v>50</v>
      </c>
      <c r="T7">
        <v>8</v>
      </c>
      <c r="U7">
        <v>3134.2</v>
      </c>
      <c r="V7">
        <v>0</v>
      </c>
      <c r="W7">
        <v>0</v>
      </c>
      <c r="X7">
        <v>25073.599999999999</v>
      </c>
      <c r="Y7">
        <f t="shared" si="0"/>
        <v>25073.599999999999</v>
      </c>
      <c r="Z7">
        <v>17347.23</v>
      </c>
      <c r="AA7">
        <v>7726.37</v>
      </c>
      <c r="AB7">
        <f t="shared" si="5"/>
        <v>7726.369999999999</v>
      </c>
      <c r="AC7" s="8">
        <f t="shared" si="6"/>
        <v>0.30814761342607361</v>
      </c>
      <c r="AD7" t="s">
        <v>32</v>
      </c>
      <c r="AE7" t="s">
        <v>33</v>
      </c>
      <c r="AF7" t="str">
        <f t="shared" si="7"/>
        <v>Perfect Match</v>
      </c>
    </row>
    <row r="8" spans="1:34">
      <c r="A8" t="str">
        <f>IF(OR(I8&lt;0, ISTEXT(W8), ISTEXT(Y8)), "Invalid", IF(OR(B8="Conflicting Duplicate", M8="Unknown", S8="Unknown"), "Warning", "Valid"))</f>
        <v>Valid</v>
      </c>
      <c r="B8" t="str">
        <f t="shared" si="1"/>
        <v>-</v>
      </c>
      <c r="C8" t="s">
        <v>104</v>
      </c>
      <c r="D8" s="2">
        <v>45495</v>
      </c>
      <c r="E8" t="str">
        <f t="shared" si="2"/>
        <v>July</v>
      </c>
      <c r="F8">
        <f t="shared" si="3"/>
        <v>2024</v>
      </c>
      <c r="G8" s="2">
        <v>45496</v>
      </c>
      <c r="H8" t="s">
        <v>105</v>
      </c>
      <c r="I8">
        <f t="shared" si="4"/>
        <v>1</v>
      </c>
      <c r="J8" t="s">
        <v>2795</v>
      </c>
      <c r="K8" t="s">
        <v>71</v>
      </c>
      <c r="L8" t="s">
        <v>37</v>
      </c>
      <c r="M8" t="s">
        <v>38</v>
      </c>
      <c r="N8" t="s">
        <v>39</v>
      </c>
      <c r="O8" t="s">
        <v>40</v>
      </c>
      <c r="P8" t="s">
        <v>74</v>
      </c>
      <c r="Q8" t="s">
        <v>75</v>
      </c>
      <c r="R8" t="s">
        <v>106</v>
      </c>
      <c r="S8" t="s">
        <v>44</v>
      </c>
      <c r="T8">
        <v>6</v>
      </c>
      <c r="U8">
        <v>2005.95</v>
      </c>
      <c r="V8">
        <v>0.2</v>
      </c>
      <c r="W8">
        <v>0.2</v>
      </c>
      <c r="X8">
        <v>9628.56</v>
      </c>
      <c r="Y8">
        <f t="shared" si="0"/>
        <v>9628.56</v>
      </c>
      <c r="Z8">
        <v>8038.59</v>
      </c>
      <c r="AA8">
        <v>1589.97</v>
      </c>
      <c r="AB8">
        <f t="shared" si="5"/>
        <v>1589.9699999999993</v>
      </c>
      <c r="AC8" s="8">
        <f t="shared" si="6"/>
        <v>0.16513061143099272</v>
      </c>
      <c r="AD8" t="s">
        <v>32</v>
      </c>
      <c r="AE8" t="s">
        <v>33</v>
      </c>
      <c r="AF8" t="str">
        <f t="shared" si="7"/>
        <v>Perfect Match</v>
      </c>
    </row>
    <row r="9" spans="1:34">
      <c r="A9" t="str">
        <f>IF(OR(I9&lt;0, ISTEXT(W9), ISTEXT(Y9)), "Invalid", IF(OR(B9="Conflicting Duplicate", M9="Unknown", S9="Unknown"), "Warning", "Valid"))</f>
        <v>Valid</v>
      </c>
      <c r="B9" t="str">
        <f t="shared" si="1"/>
        <v>-</v>
      </c>
      <c r="C9" t="s">
        <v>107</v>
      </c>
      <c r="D9" s="2">
        <v>45646</v>
      </c>
      <c r="E9" t="str">
        <f t="shared" si="2"/>
        <v>December</v>
      </c>
      <c r="F9">
        <f t="shared" si="3"/>
        <v>2024</v>
      </c>
      <c r="G9" s="2">
        <v>45647</v>
      </c>
      <c r="H9" t="s">
        <v>108</v>
      </c>
      <c r="I9">
        <f t="shared" si="4"/>
        <v>1</v>
      </c>
      <c r="J9" t="s">
        <v>2795</v>
      </c>
      <c r="K9" t="s">
        <v>62</v>
      </c>
      <c r="L9" t="s">
        <v>90</v>
      </c>
      <c r="M9" t="s">
        <v>63</v>
      </c>
      <c r="N9" t="s">
        <v>26</v>
      </c>
      <c r="O9" t="s">
        <v>109</v>
      </c>
      <c r="P9" t="s">
        <v>28</v>
      </c>
      <c r="Q9" t="s">
        <v>29</v>
      </c>
      <c r="R9" t="s">
        <v>110</v>
      </c>
      <c r="S9" t="s">
        <v>50</v>
      </c>
      <c r="T9">
        <v>1</v>
      </c>
      <c r="U9">
        <v>702.14</v>
      </c>
      <c r="V9">
        <v>0.15</v>
      </c>
      <c r="W9">
        <v>0.15</v>
      </c>
      <c r="X9">
        <v>596.82000000000005</v>
      </c>
      <c r="Y9">
        <f t="shared" si="0"/>
        <v>596.82000000000005</v>
      </c>
      <c r="Z9">
        <v>380.25</v>
      </c>
      <c r="AA9">
        <v>216.57</v>
      </c>
      <c r="AB9">
        <f t="shared" si="5"/>
        <v>216.57000000000005</v>
      </c>
      <c r="AC9" s="8">
        <f t="shared" si="6"/>
        <v>0.36287322810897765</v>
      </c>
      <c r="AD9" t="s">
        <v>111</v>
      </c>
      <c r="AE9" t="s">
        <v>103</v>
      </c>
      <c r="AF9" t="str">
        <f t="shared" si="7"/>
        <v>Perfect Match</v>
      </c>
    </row>
    <row r="10" spans="1:34">
      <c r="A10" t="str">
        <f>IF(OR(I10&lt;0, ISTEXT(W10), ISTEXT(Y10)), "Invalid", IF(OR(B10="Conflicting Duplicate", M10="Unknown", S10="Unknown"), "Warning", "Valid"))</f>
        <v>Valid</v>
      </c>
      <c r="B10" t="str">
        <f t="shared" si="1"/>
        <v>-</v>
      </c>
      <c r="C10" t="s">
        <v>116</v>
      </c>
      <c r="D10" s="2">
        <v>45653</v>
      </c>
      <c r="E10" t="str">
        <f t="shared" si="2"/>
        <v>December</v>
      </c>
      <c r="F10">
        <f t="shared" si="3"/>
        <v>2024</v>
      </c>
      <c r="G10" s="2">
        <v>45654</v>
      </c>
      <c r="H10" t="s">
        <v>117</v>
      </c>
      <c r="I10">
        <f t="shared" si="4"/>
        <v>1</v>
      </c>
      <c r="J10" t="s">
        <v>2795</v>
      </c>
      <c r="K10" t="s">
        <v>118</v>
      </c>
      <c r="L10" t="s">
        <v>24</v>
      </c>
      <c r="M10" t="s">
        <v>63</v>
      </c>
      <c r="N10" t="s">
        <v>26</v>
      </c>
      <c r="O10" t="s">
        <v>109</v>
      </c>
      <c r="P10" t="s">
        <v>74</v>
      </c>
      <c r="Q10" t="s">
        <v>80</v>
      </c>
      <c r="R10" t="s">
        <v>119</v>
      </c>
      <c r="S10" t="s">
        <v>59</v>
      </c>
      <c r="T10">
        <v>2</v>
      </c>
      <c r="U10">
        <v>2737.83</v>
      </c>
      <c r="V10">
        <v>0.25</v>
      </c>
      <c r="W10">
        <v>0.25</v>
      </c>
      <c r="X10">
        <v>4106.74</v>
      </c>
      <c r="Y10">
        <f t="shared" si="0"/>
        <v>4106.75</v>
      </c>
      <c r="Z10">
        <v>2666.3</v>
      </c>
      <c r="AA10">
        <v>1440.44</v>
      </c>
      <c r="AB10">
        <f t="shared" si="5"/>
        <v>1440.4499999999998</v>
      </c>
      <c r="AC10" s="8">
        <f t="shared" si="6"/>
        <v>0.35075181104279535</v>
      </c>
      <c r="AD10" t="s">
        <v>32</v>
      </c>
      <c r="AE10" t="s">
        <v>33</v>
      </c>
      <c r="AF10" t="str">
        <f t="shared" si="7"/>
        <v>Mismatch Found</v>
      </c>
    </row>
    <row r="11" spans="1:34">
      <c r="A11" t="str">
        <f>IF(OR(I11&lt;0, ISTEXT(W11), ISTEXT(Y11)), "Invalid", IF(OR(B11="Conflicting Duplicate", M11="Unknown", S11="Unknown"), "Warning", "Valid"))</f>
        <v>Valid</v>
      </c>
      <c r="B11" t="str">
        <f t="shared" si="1"/>
        <v>-</v>
      </c>
      <c r="C11" t="s">
        <v>120</v>
      </c>
      <c r="D11" s="2">
        <v>45482</v>
      </c>
      <c r="E11" t="str">
        <f t="shared" si="2"/>
        <v>July</v>
      </c>
      <c r="F11">
        <f t="shared" si="3"/>
        <v>2024</v>
      </c>
      <c r="G11" s="2">
        <v>45482</v>
      </c>
      <c r="H11" t="s">
        <v>121</v>
      </c>
      <c r="I11">
        <f t="shared" si="4"/>
        <v>0</v>
      </c>
      <c r="J11" t="s">
        <v>2795</v>
      </c>
      <c r="K11" t="s">
        <v>23</v>
      </c>
      <c r="L11" t="s">
        <v>37</v>
      </c>
      <c r="M11" t="s">
        <v>25</v>
      </c>
      <c r="N11" t="s">
        <v>122</v>
      </c>
      <c r="O11" t="s">
        <v>123</v>
      </c>
      <c r="P11" t="s">
        <v>28</v>
      </c>
      <c r="Q11" t="s">
        <v>124</v>
      </c>
      <c r="R11" t="s">
        <v>125</v>
      </c>
      <c r="S11" t="s">
        <v>31</v>
      </c>
      <c r="T11">
        <v>6</v>
      </c>
      <c r="U11">
        <v>3965.76</v>
      </c>
      <c r="V11">
        <v>0</v>
      </c>
      <c r="W11">
        <v>0</v>
      </c>
      <c r="X11">
        <v>23794.560000000001</v>
      </c>
      <c r="Y11">
        <f t="shared" si="0"/>
        <v>23794.560000000001</v>
      </c>
      <c r="Z11">
        <v>15698.47</v>
      </c>
      <c r="AA11">
        <v>8096.09</v>
      </c>
      <c r="AB11">
        <f t="shared" si="5"/>
        <v>8096.090000000002</v>
      </c>
      <c r="AC11" s="8">
        <f t="shared" si="6"/>
        <v>0.34024962008122872</v>
      </c>
      <c r="AD11" t="s">
        <v>32</v>
      </c>
      <c r="AE11" t="s">
        <v>33</v>
      </c>
      <c r="AF11" t="str">
        <f t="shared" si="7"/>
        <v>Perfect Match</v>
      </c>
    </row>
    <row r="12" spans="1:34">
      <c r="A12" t="str">
        <f>IF(OR(I12&lt;0, ISTEXT(W12), ISTEXT(Y12)), "Invalid", IF(OR(B12="Conflicting Duplicate", M12="Unknown", S12="Unknown"), "Warning", "Valid"))</f>
        <v>Valid</v>
      </c>
      <c r="B12" t="str">
        <f t="shared" si="1"/>
        <v>-</v>
      </c>
      <c r="C12" t="s">
        <v>126</v>
      </c>
      <c r="D12" s="2">
        <v>45420</v>
      </c>
      <c r="E12" t="str">
        <f t="shared" si="2"/>
        <v>May</v>
      </c>
      <c r="F12">
        <f t="shared" si="3"/>
        <v>2024</v>
      </c>
      <c r="G12" s="2">
        <v>45427</v>
      </c>
      <c r="H12" t="s">
        <v>127</v>
      </c>
      <c r="I12">
        <f t="shared" si="4"/>
        <v>7</v>
      </c>
      <c r="J12" t="s">
        <v>2795</v>
      </c>
      <c r="K12" t="s">
        <v>128</v>
      </c>
      <c r="L12" t="s">
        <v>24</v>
      </c>
      <c r="M12" t="s">
        <v>54</v>
      </c>
      <c r="N12" t="s">
        <v>55</v>
      </c>
      <c r="O12" t="s">
        <v>56</v>
      </c>
      <c r="P12" t="s">
        <v>28</v>
      </c>
      <c r="Q12" t="s">
        <v>48</v>
      </c>
      <c r="R12" t="s">
        <v>129</v>
      </c>
      <c r="S12" t="s">
        <v>50</v>
      </c>
      <c r="T12">
        <v>4</v>
      </c>
      <c r="U12">
        <v>3323.51</v>
      </c>
      <c r="V12">
        <v>0.25</v>
      </c>
      <c r="W12">
        <v>0.25</v>
      </c>
      <c r="X12">
        <v>9970.5300000000007</v>
      </c>
      <c r="Y12">
        <f t="shared" si="0"/>
        <v>9970.5300000000007</v>
      </c>
      <c r="Z12">
        <v>5668.17</v>
      </c>
      <c r="AA12">
        <v>4302.3599999999997</v>
      </c>
      <c r="AB12">
        <f t="shared" si="5"/>
        <v>4302.3600000000006</v>
      </c>
      <c r="AC12" s="8">
        <f t="shared" si="6"/>
        <v>0.43150765305354882</v>
      </c>
      <c r="AD12" t="s">
        <v>32</v>
      </c>
      <c r="AE12" t="s">
        <v>33</v>
      </c>
      <c r="AF12" t="str">
        <f t="shared" si="7"/>
        <v>Perfect Match</v>
      </c>
    </row>
    <row r="13" spans="1:34">
      <c r="A13" t="str">
        <f>IF(OR(I13&lt;0, ISTEXT(W13), ISTEXT(Y13)), "Invalid", IF(OR(B13="Conflicting Duplicate", M13="Unknown", S13="Unknown"), "Warning", "Valid"))</f>
        <v>Valid</v>
      </c>
      <c r="B13" t="str">
        <f t="shared" si="1"/>
        <v>-</v>
      </c>
      <c r="C13" t="s">
        <v>130</v>
      </c>
      <c r="D13" s="2">
        <v>45298</v>
      </c>
      <c r="E13" t="str">
        <f t="shared" si="2"/>
        <v>January</v>
      </c>
      <c r="F13">
        <f t="shared" si="3"/>
        <v>2024</v>
      </c>
      <c r="G13" s="2">
        <v>45299</v>
      </c>
      <c r="H13" t="s">
        <v>131</v>
      </c>
      <c r="I13">
        <f t="shared" si="4"/>
        <v>1</v>
      </c>
      <c r="J13" t="s">
        <v>2795</v>
      </c>
      <c r="K13" t="s">
        <v>132</v>
      </c>
      <c r="L13" t="s">
        <v>37</v>
      </c>
      <c r="M13" t="s">
        <v>25</v>
      </c>
      <c r="N13" t="s">
        <v>26</v>
      </c>
      <c r="O13" t="s">
        <v>27</v>
      </c>
      <c r="P13" t="s">
        <v>41</v>
      </c>
      <c r="Q13" t="s">
        <v>57</v>
      </c>
      <c r="R13" t="s">
        <v>133</v>
      </c>
      <c r="S13" t="s">
        <v>44</v>
      </c>
      <c r="T13">
        <v>5</v>
      </c>
      <c r="U13">
        <v>1526.78</v>
      </c>
      <c r="V13">
        <v>0</v>
      </c>
      <c r="W13">
        <v>0</v>
      </c>
      <c r="X13">
        <v>7633.9</v>
      </c>
      <c r="Y13">
        <f t="shared" si="0"/>
        <v>7633.9</v>
      </c>
      <c r="Z13">
        <v>4706.91</v>
      </c>
      <c r="AA13">
        <v>2926.99</v>
      </c>
      <c r="AB13">
        <f t="shared" si="5"/>
        <v>2926.99</v>
      </c>
      <c r="AC13" s="8">
        <f t="shared" si="6"/>
        <v>0.38342000812166782</v>
      </c>
      <c r="AD13" t="s">
        <v>32</v>
      </c>
      <c r="AE13" t="s">
        <v>33</v>
      </c>
      <c r="AF13" t="str">
        <f t="shared" si="7"/>
        <v>Perfect Match</v>
      </c>
    </row>
    <row r="14" spans="1:34">
      <c r="A14" s="6" t="str">
        <f>IF(OR(I14&lt;0, ISTEXT(W14), ISTEXT(Y14)), "Invalid", IF(OR(B14="Conflicting Duplicate", M14="Unknown", S14="Unknown"), "Warning", "Valid"))</f>
        <v>Invalid</v>
      </c>
      <c r="B14" t="str">
        <f t="shared" si="1"/>
        <v>-</v>
      </c>
      <c r="C14" t="s">
        <v>139</v>
      </c>
      <c r="D14" s="2">
        <v>45500</v>
      </c>
      <c r="E14" t="str">
        <f t="shared" si="2"/>
        <v>July</v>
      </c>
      <c r="F14">
        <f t="shared" si="3"/>
        <v>2024</v>
      </c>
      <c r="G14" s="2">
        <v>45504</v>
      </c>
      <c r="H14" t="s">
        <v>140</v>
      </c>
      <c r="I14">
        <f t="shared" si="4"/>
        <v>4</v>
      </c>
      <c r="J14" t="s">
        <v>2795</v>
      </c>
      <c r="K14" t="s">
        <v>141</v>
      </c>
      <c r="L14" t="s">
        <v>95</v>
      </c>
      <c r="M14" t="s">
        <v>63</v>
      </c>
      <c r="N14" t="s">
        <v>72</v>
      </c>
      <c r="O14" t="s">
        <v>73</v>
      </c>
      <c r="P14" t="s">
        <v>28</v>
      </c>
      <c r="Q14" t="s">
        <v>124</v>
      </c>
      <c r="R14" t="s">
        <v>142</v>
      </c>
      <c r="S14" t="s">
        <v>31</v>
      </c>
      <c r="T14">
        <v>3</v>
      </c>
      <c r="U14">
        <v>3887.94</v>
      </c>
      <c r="V14">
        <v>-0.19</v>
      </c>
      <c r="W14" s="4" t="s">
        <v>2794</v>
      </c>
      <c r="X14">
        <v>9331.06</v>
      </c>
      <c r="Y14" s="4" t="str">
        <f t="shared" si="0"/>
        <v>Cannot Calculate</v>
      </c>
      <c r="Z14">
        <v>7529.31</v>
      </c>
      <c r="AA14">
        <v>1801.75</v>
      </c>
      <c r="AB14" s="4" t="str">
        <f t="shared" si="5"/>
        <v>Cannot Calculate</v>
      </c>
      <c r="AC14" s="9">
        <f t="shared" si="6"/>
        <v>0</v>
      </c>
      <c r="AD14" t="s">
        <v>32</v>
      </c>
      <c r="AE14" t="s">
        <v>33</v>
      </c>
      <c r="AF14" t="str">
        <f t="shared" si="7"/>
        <v>Calculation Blocked</v>
      </c>
    </row>
    <row r="15" spans="1:34">
      <c r="A15" s="6" t="str">
        <f>IF(OR(I15&lt;0, ISTEXT(W15), ISTEXT(Y15)), "Invalid", IF(OR(B15="Conflicting Duplicate", M15="Unknown", S15="Unknown"), "Warning", "Valid"))</f>
        <v>Invalid</v>
      </c>
      <c r="B15" t="str">
        <f t="shared" si="1"/>
        <v>-</v>
      </c>
      <c r="C15" t="s">
        <v>160</v>
      </c>
      <c r="D15" s="2">
        <v>45355</v>
      </c>
      <c r="E15" t="str">
        <f t="shared" si="2"/>
        <v>March</v>
      </c>
      <c r="F15">
        <f t="shared" si="3"/>
        <v>2024</v>
      </c>
      <c r="G15" s="2">
        <v>45352</v>
      </c>
      <c r="H15" t="s">
        <v>161</v>
      </c>
      <c r="I15" s="7">
        <f t="shared" si="4"/>
        <v>-3</v>
      </c>
      <c r="J15" s="7" t="s">
        <v>2802</v>
      </c>
      <c r="K15" t="s">
        <v>162</v>
      </c>
      <c r="L15" t="s">
        <v>24</v>
      </c>
      <c r="M15" t="s">
        <v>25</v>
      </c>
      <c r="N15" t="s">
        <v>122</v>
      </c>
      <c r="O15" t="s">
        <v>123</v>
      </c>
      <c r="P15" t="s">
        <v>28</v>
      </c>
      <c r="Q15" t="s">
        <v>48</v>
      </c>
      <c r="R15" t="s">
        <v>163</v>
      </c>
      <c r="S15" t="s">
        <v>59</v>
      </c>
      <c r="T15">
        <v>4</v>
      </c>
      <c r="U15">
        <v>4492.9399999999996</v>
      </c>
      <c r="V15">
        <v>0.25</v>
      </c>
      <c r="W15">
        <v>0.25</v>
      </c>
      <c r="X15">
        <v>13478.82</v>
      </c>
      <c r="Y15">
        <f t="shared" si="0"/>
        <v>13478.82</v>
      </c>
      <c r="Z15">
        <v>10937.35</v>
      </c>
      <c r="AA15">
        <v>2541.4699999999998</v>
      </c>
      <c r="AB15">
        <f t="shared" si="5"/>
        <v>2541.4699999999993</v>
      </c>
      <c r="AC15" s="8">
        <f t="shared" si="6"/>
        <v>0.18855285551702591</v>
      </c>
      <c r="AD15" t="s">
        <v>111</v>
      </c>
      <c r="AE15" t="s">
        <v>68</v>
      </c>
      <c r="AF15" t="str">
        <f t="shared" si="7"/>
        <v>Perfect Match</v>
      </c>
    </row>
    <row r="16" spans="1:34">
      <c r="A16" s="6" t="str">
        <f>IF(OR(I16&lt;0, ISTEXT(W16), ISTEXT(Y16)), "Invalid", IF(OR(B16="Conflicting Duplicate", M16="Unknown", S16="Unknown"), "Warning", "Valid"))</f>
        <v>Invalid</v>
      </c>
      <c r="B16" t="str">
        <f t="shared" si="1"/>
        <v>-</v>
      </c>
      <c r="C16" t="s">
        <v>164</v>
      </c>
      <c r="D16" s="2">
        <v>45606</v>
      </c>
      <c r="E16" t="str">
        <f t="shared" si="2"/>
        <v>November</v>
      </c>
      <c r="F16">
        <f t="shared" si="3"/>
        <v>2024</v>
      </c>
      <c r="G16" s="2">
        <v>45584</v>
      </c>
      <c r="H16" t="s">
        <v>165</v>
      </c>
      <c r="I16" s="7">
        <f t="shared" si="4"/>
        <v>-22</v>
      </c>
      <c r="J16" s="7" t="s">
        <v>2802</v>
      </c>
      <c r="K16" t="s">
        <v>53</v>
      </c>
      <c r="L16" t="s">
        <v>90</v>
      </c>
      <c r="M16" t="s">
        <v>38</v>
      </c>
      <c r="N16" t="s">
        <v>166</v>
      </c>
      <c r="O16" t="s">
        <v>167</v>
      </c>
      <c r="P16" t="s">
        <v>74</v>
      </c>
      <c r="Q16" t="s">
        <v>75</v>
      </c>
      <c r="R16" t="s">
        <v>168</v>
      </c>
      <c r="S16" t="s">
        <v>50</v>
      </c>
      <c r="T16">
        <v>2</v>
      </c>
      <c r="U16">
        <v>4315.2</v>
      </c>
      <c r="V16">
        <v>0.15</v>
      </c>
      <c r="W16">
        <v>0.15</v>
      </c>
      <c r="X16">
        <v>7335.84</v>
      </c>
      <c r="Y16">
        <f t="shared" si="0"/>
        <v>7335.84</v>
      </c>
      <c r="Z16">
        <v>4968.41</v>
      </c>
      <c r="AA16">
        <v>2367.4299999999998</v>
      </c>
      <c r="AB16">
        <f t="shared" si="5"/>
        <v>2367.4300000000003</v>
      </c>
      <c r="AC16" s="8">
        <f t="shared" si="6"/>
        <v>0.32272105171323262</v>
      </c>
      <c r="AD16" t="s">
        <v>32</v>
      </c>
      <c r="AE16" t="s">
        <v>33</v>
      </c>
      <c r="AF16" t="str">
        <f t="shared" si="7"/>
        <v>Perfect Match</v>
      </c>
    </row>
    <row r="17" spans="1:32">
      <c r="A17" t="str">
        <f>IF(OR(I17&lt;0, ISTEXT(W17), ISTEXT(Y17)), "Invalid", IF(OR(B17="Conflicting Duplicate", M17="Unknown", S17="Unknown"), "Warning", "Valid"))</f>
        <v>Valid</v>
      </c>
      <c r="B17" t="str">
        <f t="shared" si="1"/>
        <v>-</v>
      </c>
      <c r="C17" t="s">
        <v>169</v>
      </c>
      <c r="D17" s="2">
        <v>45619</v>
      </c>
      <c r="E17" t="str">
        <f t="shared" si="2"/>
        <v>November</v>
      </c>
      <c r="F17">
        <f t="shared" si="3"/>
        <v>2024</v>
      </c>
      <c r="G17" s="2">
        <v>45619</v>
      </c>
      <c r="H17" t="s">
        <v>170</v>
      </c>
      <c r="I17">
        <f t="shared" si="4"/>
        <v>0</v>
      </c>
      <c r="J17" t="s">
        <v>2795</v>
      </c>
      <c r="K17" t="s">
        <v>162</v>
      </c>
      <c r="L17" t="s">
        <v>90</v>
      </c>
      <c r="M17" t="s">
        <v>25</v>
      </c>
      <c r="N17" t="s">
        <v>136</v>
      </c>
      <c r="O17" t="s">
        <v>137</v>
      </c>
      <c r="P17" t="s">
        <v>74</v>
      </c>
      <c r="Q17" t="s">
        <v>171</v>
      </c>
      <c r="R17" t="s">
        <v>172</v>
      </c>
      <c r="S17" t="s">
        <v>59</v>
      </c>
      <c r="T17">
        <v>4</v>
      </c>
      <c r="U17">
        <v>716.13</v>
      </c>
      <c r="V17">
        <v>0.1</v>
      </c>
      <c r="W17">
        <v>0.1</v>
      </c>
      <c r="X17">
        <v>2578.0700000000002</v>
      </c>
      <c r="Y17">
        <f t="shared" si="0"/>
        <v>2578.0700000000002</v>
      </c>
      <c r="Z17">
        <v>1527.55</v>
      </c>
      <c r="AA17">
        <v>1050.52</v>
      </c>
      <c r="AB17">
        <f t="shared" si="5"/>
        <v>1050.5200000000002</v>
      </c>
      <c r="AC17" s="8">
        <f t="shared" si="6"/>
        <v>0.40748311721559155</v>
      </c>
      <c r="AD17" t="s">
        <v>32</v>
      </c>
      <c r="AE17" t="s">
        <v>103</v>
      </c>
      <c r="AF17" t="str">
        <f t="shared" si="7"/>
        <v>Perfect Match</v>
      </c>
    </row>
    <row r="18" spans="1:32">
      <c r="A18" s="6" t="str">
        <f>IF(OR(I18&lt;0, ISTEXT(W18), ISTEXT(Y18)), "Invalid", IF(OR(B18="Conflicting Duplicate", M18="Unknown", S18="Unknown"), "Warning", "Valid"))</f>
        <v>Invalid</v>
      </c>
      <c r="B18" t="str">
        <f t="shared" si="1"/>
        <v>-</v>
      </c>
      <c r="C18" t="s">
        <v>178</v>
      </c>
      <c r="D18" s="2">
        <v>45606</v>
      </c>
      <c r="E18" t="str">
        <f t="shared" si="2"/>
        <v>November</v>
      </c>
      <c r="F18">
        <f t="shared" si="3"/>
        <v>2024</v>
      </c>
      <c r="G18" s="2">
        <v>45583</v>
      </c>
      <c r="H18" t="s">
        <v>179</v>
      </c>
      <c r="I18" s="7">
        <f t="shared" si="4"/>
        <v>-23</v>
      </c>
      <c r="J18" s="7" t="s">
        <v>2802</v>
      </c>
      <c r="K18" t="s">
        <v>62</v>
      </c>
      <c r="L18" t="s">
        <v>95</v>
      </c>
      <c r="M18" t="s">
        <v>63</v>
      </c>
      <c r="N18" t="s">
        <v>180</v>
      </c>
      <c r="O18" t="s">
        <v>181</v>
      </c>
      <c r="P18" t="s">
        <v>74</v>
      </c>
      <c r="Q18" t="s">
        <v>171</v>
      </c>
      <c r="R18" t="s">
        <v>182</v>
      </c>
      <c r="S18" t="s">
        <v>31</v>
      </c>
      <c r="T18">
        <v>2</v>
      </c>
      <c r="U18">
        <v>1942.22</v>
      </c>
      <c r="V18">
        <v>0.25</v>
      </c>
      <c r="W18">
        <v>0.25</v>
      </c>
      <c r="X18">
        <v>2913.33</v>
      </c>
      <c r="Y18">
        <f t="shared" si="0"/>
        <v>2913.33</v>
      </c>
      <c r="Z18">
        <v>2122.33</v>
      </c>
      <c r="AA18">
        <v>791</v>
      </c>
      <c r="AB18">
        <f t="shared" si="5"/>
        <v>791</v>
      </c>
      <c r="AC18" s="8">
        <f t="shared" si="6"/>
        <v>0.27151060813570727</v>
      </c>
      <c r="AD18" t="s">
        <v>102</v>
      </c>
      <c r="AE18" t="s">
        <v>68</v>
      </c>
      <c r="AF18" t="str">
        <f t="shared" si="7"/>
        <v>Perfect Match</v>
      </c>
    </row>
    <row r="19" spans="1:32">
      <c r="A19" t="str">
        <f>IF(OR(I19&lt;0, ISTEXT(W19), ISTEXT(Y19)), "Invalid", IF(OR(B19="Conflicting Duplicate", M19="Unknown", S19="Unknown"), "Warning", "Valid"))</f>
        <v>Valid</v>
      </c>
      <c r="B19" t="str">
        <f t="shared" si="1"/>
        <v>-</v>
      </c>
      <c r="C19" t="s">
        <v>188</v>
      </c>
      <c r="D19" s="2">
        <v>45331</v>
      </c>
      <c r="E19" t="str">
        <f t="shared" si="2"/>
        <v>February</v>
      </c>
      <c r="F19">
        <f t="shared" si="3"/>
        <v>2024</v>
      </c>
      <c r="G19" s="2">
        <v>45334</v>
      </c>
      <c r="H19" t="s">
        <v>189</v>
      </c>
      <c r="I19">
        <f t="shared" si="4"/>
        <v>3</v>
      </c>
      <c r="J19" t="s">
        <v>2795</v>
      </c>
      <c r="K19" t="s">
        <v>62</v>
      </c>
      <c r="L19" t="s">
        <v>90</v>
      </c>
      <c r="M19" t="s">
        <v>63</v>
      </c>
      <c r="N19" t="s">
        <v>190</v>
      </c>
      <c r="O19" t="s">
        <v>191</v>
      </c>
      <c r="P19" t="s">
        <v>28</v>
      </c>
      <c r="Q19" t="s">
        <v>91</v>
      </c>
      <c r="R19" t="s">
        <v>192</v>
      </c>
      <c r="S19" t="s">
        <v>50</v>
      </c>
      <c r="T19">
        <v>1</v>
      </c>
      <c r="U19">
        <v>3421.77</v>
      </c>
      <c r="V19">
        <v>0.1</v>
      </c>
      <c r="W19">
        <v>0.1</v>
      </c>
      <c r="X19">
        <v>3079.59</v>
      </c>
      <c r="Y19">
        <f t="shared" si="0"/>
        <v>3079.59</v>
      </c>
      <c r="Z19">
        <v>2001.89</v>
      </c>
      <c r="AA19">
        <v>1077.7</v>
      </c>
      <c r="AB19">
        <f t="shared" si="5"/>
        <v>1077.7</v>
      </c>
      <c r="AC19" s="8">
        <f t="shared" si="6"/>
        <v>0.34994918154689425</v>
      </c>
      <c r="AD19" t="s">
        <v>32</v>
      </c>
      <c r="AE19" t="s">
        <v>33</v>
      </c>
      <c r="AF19" t="str">
        <f t="shared" si="7"/>
        <v>Perfect Match</v>
      </c>
    </row>
    <row r="20" spans="1:32">
      <c r="A20" s="6" t="str">
        <f>IF(OR(I20&lt;0, ISTEXT(W20), ISTEXT(Y20)), "Invalid", IF(OR(B20="Conflicting Duplicate", M20="Unknown", S20="Unknown"), "Warning", "Valid"))</f>
        <v>Invalid</v>
      </c>
      <c r="B20" t="str">
        <f t="shared" si="1"/>
        <v>-</v>
      </c>
      <c r="C20" t="s">
        <v>196</v>
      </c>
      <c r="D20" s="2">
        <v>45618</v>
      </c>
      <c r="E20" t="str">
        <f t="shared" si="2"/>
        <v>November</v>
      </c>
      <c r="F20">
        <f t="shared" si="3"/>
        <v>2024</v>
      </c>
      <c r="G20" s="2">
        <v>45622</v>
      </c>
      <c r="H20" t="s">
        <v>197</v>
      </c>
      <c r="I20">
        <f t="shared" si="4"/>
        <v>4</v>
      </c>
      <c r="J20" t="s">
        <v>2795</v>
      </c>
      <c r="K20" t="s">
        <v>128</v>
      </c>
      <c r="L20" t="s">
        <v>90</v>
      </c>
      <c r="M20" t="s">
        <v>54</v>
      </c>
      <c r="N20" t="s">
        <v>84</v>
      </c>
      <c r="O20" t="s">
        <v>85</v>
      </c>
      <c r="P20" t="s">
        <v>74</v>
      </c>
      <c r="Q20" t="s">
        <v>171</v>
      </c>
      <c r="R20" t="s">
        <v>198</v>
      </c>
      <c r="S20" t="s">
        <v>31</v>
      </c>
      <c r="T20">
        <v>3</v>
      </c>
      <c r="U20">
        <v>4001.25</v>
      </c>
      <c r="V20" s="4" t="str">
        <f>IF(ROUND(T2*U2, 2)=ROUND(X2, 2), 0, "Flag - Missing Value")</f>
        <v>Flag - Missing Value</v>
      </c>
      <c r="W20" s="4" t="s">
        <v>2794</v>
      </c>
      <c r="X20">
        <v>9002.81</v>
      </c>
      <c r="Y20" s="4" t="str">
        <f t="shared" si="0"/>
        <v>Cannot Calculate</v>
      </c>
      <c r="Z20">
        <v>7529.92</v>
      </c>
      <c r="AA20">
        <v>1472.89</v>
      </c>
      <c r="AB20" s="4" t="str">
        <f t="shared" si="5"/>
        <v>Cannot Calculate</v>
      </c>
      <c r="AC20" s="9">
        <f t="shared" si="6"/>
        <v>0</v>
      </c>
      <c r="AD20" t="s">
        <v>32</v>
      </c>
      <c r="AE20" t="s">
        <v>33</v>
      </c>
      <c r="AF20" t="str">
        <f t="shared" si="7"/>
        <v>Calculation Blocked</v>
      </c>
    </row>
    <row r="21" spans="1:32">
      <c r="A21" t="str">
        <f>IF(OR(I21&lt;0, ISTEXT(W21), ISTEXT(Y21)), "Invalid", IF(OR(B21="Conflicting Duplicate", M21="Unknown", S21="Unknown"), "Warning", "Valid"))</f>
        <v>Valid</v>
      </c>
      <c r="B21" t="str">
        <f t="shared" si="1"/>
        <v>-</v>
      </c>
      <c r="C21" t="s">
        <v>199</v>
      </c>
      <c r="D21" s="2">
        <v>45495</v>
      </c>
      <c r="E21" t="str">
        <f t="shared" si="2"/>
        <v>July</v>
      </c>
      <c r="F21">
        <f t="shared" si="3"/>
        <v>2024</v>
      </c>
      <c r="G21" s="2">
        <v>45500</v>
      </c>
      <c r="H21" t="s">
        <v>200</v>
      </c>
      <c r="I21">
        <f t="shared" si="4"/>
        <v>5</v>
      </c>
      <c r="J21" t="s">
        <v>2795</v>
      </c>
      <c r="K21" t="s">
        <v>114</v>
      </c>
      <c r="L21" t="s">
        <v>95</v>
      </c>
      <c r="M21" t="s">
        <v>63</v>
      </c>
      <c r="N21" t="s">
        <v>190</v>
      </c>
      <c r="O21" t="s">
        <v>191</v>
      </c>
      <c r="P21" t="s">
        <v>41</v>
      </c>
      <c r="Q21" t="s">
        <v>42</v>
      </c>
      <c r="R21" t="s">
        <v>201</v>
      </c>
      <c r="S21" t="s">
        <v>44</v>
      </c>
      <c r="T21">
        <v>7</v>
      </c>
      <c r="U21">
        <v>492.41</v>
      </c>
      <c r="V21">
        <v>0.25</v>
      </c>
      <c r="W21">
        <v>0.25</v>
      </c>
      <c r="X21">
        <v>2585.15</v>
      </c>
      <c r="Y21">
        <f t="shared" si="0"/>
        <v>2585.15</v>
      </c>
      <c r="Z21">
        <v>2070.73</v>
      </c>
      <c r="AA21">
        <v>514.41999999999996</v>
      </c>
      <c r="AB21">
        <f t="shared" si="5"/>
        <v>514.42000000000007</v>
      </c>
      <c r="AC21" s="8">
        <f t="shared" si="6"/>
        <v>0.1989903874049862</v>
      </c>
      <c r="AD21" t="s">
        <v>32</v>
      </c>
      <c r="AE21" t="s">
        <v>33</v>
      </c>
      <c r="AF21" t="str">
        <f t="shared" si="7"/>
        <v>Perfect Match</v>
      </c>
    </row>
    <row r="22" spans="1:32">
      <c r="A22" t="str">
        <f>IF(OR(I22&lt;0, ISTEXT(W22), ISTEXT(Y22)), "Invalid", IF(OR(B22="Conflicting Duplicate", M22="Unknown", S22="Unknown"), "Warning", "Valid"))</f>
        <v>Valid</v>
      </c>
      <c r="B22" t="str">
        <f t="shared" si="1"/>
        <v>-</v>
      </c>
      <c r="C22" t="s">
        <v>205</v>
      </c>
      <c r="D22" s="2">
        <v>45441</v>
      </c>
      <c r="E22" t="str">
        <f t="shared" si="2"/>
        <v>May</v>
      </c>
      <c r="F22">
        <f t="shared" si="3"/>
        <v>2024</v>
      </c>
      <c r="G22" s="2">
        <v>45441</v>
      </c>
      <c r="H22" t="s">
        <v>206</v>
      </c>
      <c r="I22">
        <f t="shared" si="4"/>
        <v>0</v>
      </c>
      <c r="J22" t="s">
        <v>2795</v>
      </c>
      <c r="K22" t="s">
        <v>132</v>
      </c>
      <c r="L22" t="s">
        <v>37</v>
      </c>
      <c r="M22" t="s">
        <v>63</v>
      </c>
      <c r="N22" t="s">
        <v>180</v>
      </c>
      <c r="O22" t="s">
        <v>181</v>
      </c>
      <c r="P22" t="s">
        <v>41</v>
      </c>
      <c r="Q22" t="s">
        <v>158</v>
      </c>
      <c r="R22" t="s">
        <v>207</v>
      </c>
      <c r="S22" t="s">
        <v>31</v>
      </c>
      <c r="T22">
        <v>8</v>
      </c>
      <c r="U22">
        <v>2507.12</v>
      </c>
      <c r="V22">
        <v>0.05</v>
      </c>
      <c r="W22">
        <v>0.05</v>
      </c>
      <c r="X22">
        <v>19054.11</v>
      </c>
      <c r="Y22">
        <f t="shared" si="0"/>
        <v>19054.11</v>
      </c>
      <c r="Z22">
        <v>15313.83</v>
      </c>
      <c r="AA22">
        <v>3740.28</v>
      </c>
      <c r="AB22">
        <f t="shared" si="5"/>
        <v>3740.2800000000007</v>
      </c>
      <c r="AC22" s="8">
        <f t="shared" si="6"/>
        <v>0.19629780661495083</v>
      </c>
      <c r="AD22" t="s">
        <v>111</v>
      </c>
      <c r="AE22" t="s">
        <v>103</v>
      </c>
      <c r="AF22" t="str">
        <f t="shared" si="7"/>
        <v>Perfect Match</v>
      </c>
    </row>
    <row r="23" spans="1:32">
      <c r="A23" t="str">
        <f>IF(OR(I23&lt;0, ISTEXT(W23), ISTEXT(Y23)), "Invalid", IF(OR(B23="Conflicting Duplicate", M23="Unknown", S23="Unknown"), "Warning", "Valid"))</f>
        <v>Valid</v>
      </c>
      <c r="B23" t="str">
        <f t="shared" si="1"/>
        <v>-</v>
      </c>
      <c r="C23" t="s">
        <v>208</v>
      </c>
      <c r="D23" s="2">
        <v>45590</v>
      </c>
      <c r="E23" t="str">
        <f t="shared" si="2"/>
        <v>October</v>
      </c>
      <c r="F23">
        <f t="shared" si="3"/>
        <v>2024</v>
      </c>
      <c r="G23" s="2">
        <v>45593</v>
      </c>
      <c r="H23" t="s">
        <v>209</v>
      </c>
      <c r="I23">
        <f t="shared" si="4"/>
        <v>3</v>
      </c>
      <c r="J23" t="s">
        <v>2795</v>
      </c>
      <c r="K23" t="s">
        <v>141</v>
      </c>
      <c r="L23" t="s">
        <v>90</v>
      </c>
      <c r="M23" t="s">
        <v>63</v>
      </c>
      <c r="N23" t="s">
        <v>64</v>
      </c>
      <c r="O23" t="s">
        <v>65</v>
      </c>
      <c r="P23" t="s">
        <v>41</v>
      </c>
      <c r="Q23" t="s">
        <v>158</v>
      </c>
      <c r="R23" t="s">
        <v>210</v>
      </c>
      <c r="S23" t="s">
        <v>31</v>
      </c>
      <c r="T23">
        <v>3</v>
      </c>
      <c r="U23">
        <v>3126.47</v>
      </c>
      <c r="V23">
        <v>0</v>
      </c>
      <c r="W23">
        <v>0</v>
      </c>
      <c r="X23">
        <v>9379.41</v>
      </c>
      <c r="Y23">
        <f t="shared" si="0"/>
        <v>9379.41</v>
      </c>
      <c r="Z23">
        <v>6670.85</v>
      </c>
      <c r="AA23">
        <v>2708.56</v>
      </c>
      <c r="AB23">
        <f t="shared" si="5"/>
        <v>2708.5599999999995</v>
      </c>
      <c r="AC23" s="8">
        <f t="shared" si="6"/>
        <v>0.28877722585962223</v>
      </c>
      <c r="AD23" t="s">
        <v>32</v>
      </c>
      <c r="AE23" t="s">
        <v>103</v>
      </c>
      <c r="AF23" t="str">
        <f t="shared" si="7"/>
        <v>Perfect Match</v>
      </c>
    </row>
    <row r="24" spans="1:32">
      <c r="A24" t="str">
        <f>IF(OR(I24&lt;0, ISTEXT(W24), ISTEXT(Y24)), "Invalid", IF(OR(B24="Conflicting Duplicate", M24="Unknown", S24="Unknown"), "Warning", "Valid"))</f>
        <v>Valid</v>
      </c>
      <c r="B24" t="str">
        <f t="shared" si="1"/>
        <v>-</v>
      </c>
      <c r="C24" t="s">
        <v>214</v>
      </c>
      <c r="D24" s="2">
        <v>45460</v>
      </c>
      <c r="E24" t="str">
        <f t="shared" si="2"/>
        <v>June</v>
      </c>
      <c r="F24">
        <f t="shared" si="3"/>
        <v>2024</v>
      </c>
      <c r="G24" s="2">
        <v>45465</v>
      </c>
      <c r="H24" t="s">
        <v>215</v>
      </c>
      <c r="I24">
        <f t="shared" si="4"/>
        <v>5</v>
      </c>
      <c r="J24" t="s">
        <v>2795</v>
      </c>
      <c r="K24" t="s">
        <v>128</v>
      </c>
      <c r="L24" t="s">
        <v>90</v>
      </c>
      <c r="M24" t="s">
        <v>63</v>
      </c>
      <c r="N24" t="s">
        <v>180</v>
      </c>
      <c r="O24" t="s">
        <v>181</v>
      </c>
      <c r="P24" t="s">
        <v>74</v>
      </c>
      <c r="Q24" t="s">
        <v>171</v>
      </c>
      <c r="R24" t="s">
        <v>216</v>
      </c>
      <c r="S24" t="s">
        <v>50</v>
      </c>
      <c r="T24">
        <v>7</v>
      </c>
      <c r="U24">
        <v>2210.6799999999998</v>
      </c>
      <c r="V24">
        <v>0.1</v>
      </c>
      <c r="W24">
        <v>0.1</v>
      </c>
      <c r="X24">
        <v>13927.28</v>
      </c>
      <c r="Y24">
        <f t="shared" si="0"/>
        <v>13927.28</v>
      </c>
      <c r="Z24">
        <v>10504.87</v>
      </c>
      <c r="AA24">
        <v>3422.41</v>
      </c>
      <c r="AB24">
        <f t="shared" si="5"/>
        <v>3422.41</v>
      </c>
      <c r="AC24" s="8">
        <f t="shared" si="6"/>
        <v>0.24573427115703853</v>
      </c>
      <c r="AD24" t="s">
        <v>32</v>
      </c>
      <c r="AE24" t="s">
        <v>33</v>
      </c>
      <c r="AF24" t="str">
        <f t="shared" si="7"/>
        <v>Perfect Match</v>
      </c>
    </row>
    <row r="25" spans="1:32">
      <c r="A25" t="str">
        <f>IF(OR(I25&lt;0, ISTEXT(W25), ISTEXT(Y25)), "Invalid", IF(OR(B25="Conflicting Duplicate", M25="Unknown", S25="Unknown"), "Warning", "Valid"))</f>
        <v>Valid</v>
      </c>
      <c r="B25" t="str">
        <f t="shared" si="1"/>
        <v>-</v>
      </c>
      <c r="C25" t="s">
        <v>217</v>
      </c>
      <c r="D25" s="2">
        <v>45637</v>
      </c>
      <c r="E25" t="str">
        <f t="shared" si="2"/>
        <v>December</v>
      </c>
      <c r="F25">
        <f t="shared" si="3"/>
        <v>2024</v>
      </c>
      <c r="G25" s="2">
        <v>45637</v>
      </c>
      <c r="H25" t="s">
        <v>218</v>
      </c>
      <c r="I25">
        <f t="shared" si="4"/>
        <v>0</v>
      </c>
      <c r="J25" t="s">
        <v>2795</v>
      </c>
      <c r="K25" t="s">
        <v>36</v>
      </c>
      <c r="L25" t="s">
        <v>37</v>
      </c>
      <c r="M25" t="s">
        <v>63</v>
      </c>
      <c r="N25" t="s">
        <v>72</v>
      </c>
      <c r="O25" t="s">
        <v>73</v>
      </c>
      <c r="P25" t="s">
        <v>74</v>
      </c>
      <c r="Q25" t="s">
        <v>80</v>
      </c>
      <c r="R25" t="s">
        <v>219</v>
      </c>
      <c r="S25" t="s">
        <v>50</v>
      </c>
      <c r="T25">
        <v>4</v>
      </c>
      <c r="U25">
        <v>1370.92</v>
      </c>
      <c r="V25">
        <v>0.1</v>
      </c>
      <c r="W25">
        <v>0.1</v>
      </c>
      <c r="X25">
        <v>4935.3100000000004</v>
      </c>
      <c r="Y25">
        <f t="shared" si="0"/>
        <v>4935.3100000000004</v>
      </c>
      <c r="Z25">
        <v>3374.77</v>
      </c>
      <c r="AA25">
        <v>1560.54</v>
      </c>
      <c r="AB25">
        <f t="shared" si="5"/>
        <v>1560.5400000000004</v>
      </c>
      <c r="AC25" s="8">
        <f t="shared" si="6"/>
        <v>0.31619898243474076</v>
      </c>
      <c r="AD25" t="s">
        <v>111</v>
      </c>
      <c r="AE25" t="s">
        <v>103</v>
      </c>
      <c r="AF25" t="str">
        <f t="shared" si="7"/>
        <v>Perfect Match</v>
      </c>
    </row>
    <row r="26" spans="1:32">
      <c r="A26" t="str">
        <f>IF(OR(I26&lt;0, ISTEXT(W26), ISTEXT(Y26)), "Invalid", IF(OR(B26="Conflicting Duplicate", M26="Unknown", S26="Unknown"), "Warning", "Valid"))</f>
        <v>Valid</v>
      </c>
      <c r="B26" t="str">
        <f t="shared" si="1"/>
        <v>-</v>
      </c>
      <c r="C26" t="s">
        <v>220</v>
      </c>
      <c r="D26" s="2">
        <v>45575</v>
      </c>
      <c r="E26" t="str">
        <f t="shared" si="2"/>
        <v>October</v>
      </c>
      <c r="F26">
        <f t="shared" si="3"/>
        <v>2024</v>
      </c>
      <c r="G26" s="2">
        <v>45581</v>
      </c>
      <c r="H26" t="s">
        <v>221</v>
      </c>
      <c r="I26">
        <f t="shared" si="4"/>
        <v>6</v>
      </c>
      <c r="J26" t="s">
        <v>2795</v>
      </c>
      <c r="K26" t="s">
        <v>47</v>
      </c>
      <c r="L26" t="s">
        <v>95</v>
      </c>
      <c r="M26" t="s">
        <v>63</v>
      </c>
      <c r="N26" t="s">
        <v>26</v>
      </c>
      <c r="O26" t="s">
        <v>109</v>
      </c>
      <c r="P26" t="s">
        <v>74</v>
      </c>
      <c r="Q26" t="s">
        <v>80</v>
      </c>
      <c r="R26" t="s">
        <v>222</v>
      </c>
      <c r="S26" t="s">
        <v>59</v>
      </c>
      <c r="T26">
        <v>7</v>
      </c>
      <c r="U26">
        <v>2509.27</v>
      </c>
      <c r="V26">
        <v>0.2</v>
      </c>
      <c r="W26">
        <v>0.2</v>
      </c>
      <c r="X26">
        <v>14051.91</v>
      </c>
      <c r="Y26">
        <f t="shared" si="0"/>
        <v>14051.91</v>
      </c>
      <c r="Z26">
        <v>11990.37</v>
      </c>
      <c r="AA26">
        <v>2061.54</v>
      </c>
      <c r="AB26">
        <f t="shared" si="5"/>
        <v>2061.5399999999991</v>
      </c>
      <c r="AC26" s="8">
        <f t="shared" si="6"/>
        <v>0.14670888156841305</v>
      </c>
      <c r="AD26" t="s">
        <v>32</v>
      </c>
      <c r="AE26" t="s">
        <v>33</v>
      </c>
      <c r="AF26" t="str">
        <f t="shared" si="7"/>
        <v>Perfect Match</v>
      </c>
    </row>
    <row r="27" spans="1:32">
      <c r="A27" t="str">
        <f>IF(OR(I27&lt;0, ISTEXT(W27), ISTEXT(Y27)), "Invalid", IF(OR(B27="Conflicting Duplicate", M27="Unknown", S27="Unknown"), "Warning", "Valid"))</f>
        <v>Valid</v>
      </c>
      <c r="B27" t="str">
        <f t="shared" si="1"/>
        <v>-</v>
      </c>
      <c r="C27" t="s">
        <v>223</v>
      </c>
      <c r="D27" s="2">
        <v>45363</v>
      </c>
      <c r="E27" t="str">
        <f t="shared" si="2"/>
        <v>March</v>
      </c>
      <c r="F27">
        <f t="shared" si="3"/>
        <v>2024</v>
      </c>
      <c r="G27" s="2">
        <v>45368</v>
      </c>
      <c r="H27" t="s">
        <v>224</v>
      </c>
      <c r="I27">
        <f t="shared" si="4"/>
        <v>5</v>
      </c>
      <c r="J27" t="s">
        <v>2795</v>
      </c>
      <c r="K27" t="s">
        <v>128</v>
      </c>
      <c r="L27" t="s">
        <v>37</v>
      </c>
      <c r="M27" t="s">
        <v>38</v>
      </c>
      <c r="N27" t="s">
        <v>39</v>
      </c>
      <c r="O27" t="s">
        <v>40</v>
      </c>
      <c r="P27" t="s">
        <v>41</v>
      </c>
      <c r="Q27" t="s">
        <v>158</v>
      </c>
      <c r="R27" t="s">
        <v>225</v>
      </c>
      <c r="S27" t="s">
        <v>44</v>
      </c>
      <c r="T27">
        <v>8</v>
      </c>
      <c r="U27">
        <v>855.81</v>
      </c>
      <c r="V27">
        <v>0</v>
      </c>
      <c r="W27">
        <v>0</v>
      </c>
      <c r="X27">
        <v>6846.48</v>
      </c>
      <c r="Y27">
        <f t="shared" si="0"/>
        <v>6846.48</v>
      </c>
      <c r="Z27">
        <v>4239.8900000000003</v>
      </c>
      <c r="AA27">
        <v>2606.59</v>
      </c>
      <c r="AB27">
        <f t="shared" si="5"/>
        <v>2606.5899999999992</v>
      </c>
      <c r="AC27" s="8">
        <f t="shared" si="6"/>
        <v>0.38071972750961069</v>
      </c>
      <c r="AD27" t="s">
        <v>111</v>
      </c>
      <c r="AE27" t="s">
        <v>68</v>
      </c>
      <c r="AF27" t="str">
        <f t="shared" si="7"/>
        <v>Perfect Match</v>
      </c>
    </row>
    <row r="28" spans="1:32">
      <c r="A28" t="str">
        <f>IF(OR(I28&lt;0, ISTEXT(W28), ISTEXT(Y28)), "Invalid", IF(OR(B28="Conflicting Duplicate", M28="Unknown", S28="Unknown"), "Warning", "Valid"))</f>
        <v>Valid</v>
      </c>
      <c r="B28" t="str">
        <f t="shared" si="1"/>
        <v>-</v>
      </c>
      <c r="C28" t="s">
        <v>231</v>
      </c>
      <c r="D28" s="2">
        <v>45481</v>
      </c>
      <c r="E28" t="str">
        <f t="shared" si="2"/>
        <v>July</v>
      </c>
      <c r="F28">
        <f t="shared" si="3"/>
        <v>2024</v>
      </c>
      <c r="G28" s="2">
        <v>45487</v>
      </c>
      <c r="H28" t="s">
        <v>232</v>
      </c>
      <c r="I28">
        <f t="shared" si="4"/>
        <v>6</v>
      </c>
      <c r="J28" t="s">
        <v>2795</v>
      </c>
      <c r="K28" t="s">
        <v>114</v>
      </c>
      <c r="L28" t="s">
        <v>37</v>
      </c>
      <c r="M28" t="s">
        <v>38</v>
      </c>
      <c r="N28" t="s">
        <v>39</v>
      </c>
      <c r="O28" t="s">
        <v>40</v>
      </c>
      <c r="P28" t="s">
        <v>41</v>
      </c>
      <c r="Q28" t="s">
        <v>57</v>
      </c>
      <c r="R28" t="s">
        <v>233</v>
      </c>
      <c r="S28" t="s">
        <v>44</v>
      </c>
      <c r="T28">
        <v>3</v>
      </c>
      <c r="U28">
        <v>1010.23</v>
      </c>
      <c r="V28">
        <v>0</v>
      </c>
      <c r="W28">
        <v>0</v>
      </c>
      <c r="X28">
        <v>3030.69</v>
      </c>
      <c r="Y28">
        <f t="shared" si="0"/>
        <v>3030.69</v>
      </c>
      <c r="Z28">
        <v>1721.08</v>
      </c>
      <c r="AA28">
        <v>1309.6099999999999</v>
      </c>
      <c r="AB28">
        <f t="shared" si="5"/>
        <v>1309.6100000000001</v>
      </c>
      <c r="AC28" s="8">
        <f t="shared" si="6"/>
        <v>0.43211611877163292</v>
      </c>
      <c r="AD28" t="s">
        <v>32</v>
      </c>
      <c r="AE28" t="s">
        <v>33</v>
      </c>
      <c r="AF28" t="str">
        <f t="shared" si="7"/>
        <v>Perfect Match</v>
      </c>
    </row>
    <row r="29" spans="1:32">
      <c r="A29" t="str">
        <f>IF(OR(I29&lt;0, ISTEXT(W29), ISTEXT(Y29)), "Invalid", IF(OR(B29="Conflicting Duplicate", M29="Unknown", S29="Unknown"), "Warning", "Valid"))</f>
        <v>Valid</v>
      </c>
      <c r="B29" t="str">
        <f t="shared" si="1"/>
        <v>-</v>
      </c>
      <c r="C29" t="s">
        <v>234</v>
      </c>
      <c r="D29" s="2">
        <v>45465</v>
      </c>
      <c r="E29" t="str">
        <f t="shared" si="2"/>
        <v>June</v>
      </c>
      <c r="F29">
        <f t="shared" si="3"/>
        <v>2024</v>
      </c>
      <c r="G29" s="2">
        <v>45468</v>
      </c>
      <c r="H29" t="s">
        <v>235</v>
      </c>
      <c r="I29">
        <f t="shared" si="4"/>
        <v>3</v>
      </c>
      <c r="J29" t="s">
        <v>2795</v>
      </c>
      <c r="K29" t="s">
        <v>141</v>
      </c>
      <c r="L29" t="s">
        <v>37</v>
      </c>
      <c r="M29" t="s">
        <v>25</v>
      </c>
      <c r="N29" t="s">
        <v>236</v>
      </c>
      <c r="O29" t="s">
        <v>237</v>
      </c>
      <c r="P29" t="s">
        <v>41</v>
      </c>
      <c r="Q29" t="s">
        <v>66</v>
      </c>
      <c r="R29" t="s">
        <v>238</v>
      </c>
      <c r="S29" t="s">
        <v>59</v>
      </c>
      <c r="T29">
        <v>9</v>
      </c>
      <c r="U29">
        <v>3329.77</v>
      </c>
      <c r="V29">
        <v>0.1</v>
      </c>
      <c r="W29">
        <v>0.1</v>
      </c>
      <c r="X29">
        <v>26971.14</v>
      </c>
      <c r="Y29">
        <f t="shared" si="0"/>
        <v>26971.14</v>
      </c>
      <c r="Z29">
        <v>17376.2</v>
      </c>
      <c r="AA29">
        <v>9594.94</v>
      </c>
      <c r="AB29">
        <f t="shared" si="5"/>
        <v>9594.9399999999987</v>
      </c>
      <c r="AC29" s="8">
        <f t="shared" si="6"/>
        <v>0.35574840366406457</v>
      </c>
      <c r="AD29" t="s">
        <v>32</v>
      </c>
      <c r="AE29" t="s">
        <v>33</v>
      </c>
      <c r="AF29" t="str">
        <f t="shared" si="7"/>
        <v>Perfect Match</v>
      </c>
    </row>
    <row r="30" spans="1:32">
      <c r="A30" t="str">
        <f>IF(OR(I30&lt;0, ISTEXT(W30), ISTEXT(Y30)), "Invalid", IF(OR(B30="Conflicting Duplicate", M30="Unknown", S30="Unknown"), "Warning", "Valid"))</f>
        <v>Valid</v>
      </c>
      <c r="B30" t="str">
        <f t="shared" si="1"/>
        <v>-</v>
      </c>
      <c r="C30" t="s">
        <v>239</v>
      </c>
      <c r="D30" s="2">
        <v>45309</v>
      </c>
      <c r="E30" t="str">
        <f t="shared" si="2"/>
        <v>January</v>
      </c>
      <c r="F30">
        <f t="shared" si="3"/>
        <v>2024</v>
      </c>
      <c r="G30" s="2">
        <v>45315</v>
      </c>
      <c r="H30" t="s">
        <v>240</v>
      </c>
      <c r="I30">
        <f t="shared" si="4"/>
        <v>6</v>
      </c>
      <c r="J30" t="s">
        <v>2795</v>
      </c>
      <c r="K30" t="s">
        <v>47</v>
      </c>
      <c r="L30" t="s">
        <v>95</v>
      </c>
      <c r="M30" t="s">
        <v>38</v>
      </c>
      <c r="N30" t="s">
        <v>145</v>
      </c>
      <c r="O30" t="s">
        <v>146</v>
      </c>
      <c r="P30" t="s">
        <v>28</v>
      </c>
      <c r="Q30" t="s">
        <v>48</v>
      </c>
      <c r="R30" t="s">
        <v>241</v>
      </c>
      <c r="S30" t="s">
        <v>31</v>
      </c>
      <c r="T30">
        <v>8</v>
      </c>
      <c r="U30">
        <v>3927.82</v>
      </c>
      <c r="V30">
        <v>0.05</v>
      </c>
      <c r="W30">
        <v>0.05</v>
      </c>
      <c r="X30">
        <v>29851.43</v>
      </c>
      <c r="Y30">
        <f t="shared" si="0"/>
        <v>29851.43</v>
      </c>
      <c r="Z30">
        <v>17487.48</v>
      </c>
      <c r="AA30">
        <v>12363.95</v>
      </c>
      <c r="AB30">
        <f t="shared" si="5"/>
        <v>12363.95</v>
      </c>
      <c r="AC30" s="8">
        <f t="shared" si="6"/>
        <v>0.41418283814209239</v>
      </c>
      <c r="AD30" t="s">
        <v>111</v>
      </c>
      <c r="AE30" t="s">
        <v>103</v>
      </c>
      <c r="AF30" t="str">
        <f t="shared" si="7"/>
        <v>Perfect Match</v>
      </c>
    </row>
    <row r="31" spans="1:32">
      <c r="A31" t="str">
        <f>IF(OR(I31&lt;0, ISTEXT(W31), ISTEXT(Y31)), "Invalid", IF(OR(B31="Conflicting Duplicate", M31="Unknown", S31="Unknown"), "Warning", "Valid"))</f>
        <v>Valid</v>
      </c>
      <c r="B31" t="str">
        <f t="shared" si="1"/>
        <v>-</v>
      </c>
      <c r="C31" t="s">
        <v>242</v>
      </c>
      <c r="D31" s="2">
        <v>45492</v>
      </c>
      <c r="E31" t="str">
        <f t="shared" si="2"/>
        <v>July</v>
      </c>
      <c r="F31">
        <f t="shared" si="3"/>
        <v>2024</v>
      </c>
      <c r="G31" s="2">
        <v>45492</v>
      </c>
      <c r="H31" t="s">
        <v>243</v>
      </c>
      <c r="I31">
        <f t="shared" si="4"/>
        <v>0</v>
      </c>
      <c r="J31" t="s">
        <v>2795</v>
      </c>
      <c r="K31" t="s">
        <v>62</v>
      </c>
      <c r="L31" t="s">
        <v>37</v>
      </c>
      <c r="M31" t="s">
        <v>54</v>
      </c>
      <c r="N31" t="s">
        <v>185</v>
      </c>
      <c r="O31" t="s">
        <v>186</v>
      </c>
      <c r="P31" t="s">
        <v>41</v>
      </c>
      <c r="Q31" t="s">
        <v>158</v>
      </c>
      <c r="R31" t="s">
        <v>244</v>
      </c>
      <c r="S31" t="s">
        <v>59</v>
      </c>
      <c r="T31">
        <v>9</v>
      </c>
      <c r="U31">
        <v>2386.79</v>
      </c>
      <c r="V31">
        <v>0.25</v>
      </c>
      <c r="W31">
        <v>0.25</v>
      </c>
      <c r="X31">
        <v>16110.83</v>
      </c>
      <c r="Y31">
        <f t="shared" si="0"/>
        <v>16110.83</v>
      </c>
      <c r="Z31">
        <v>10680.03</v>
      </c>
      <c r="AA31">
        <v>5430.8</v>
      </c>
      <c r="AB31">
        <f t="shared" si="5"/>
        <v>5430.7999999999993</v>
      </c>
      <c r="AC31" s="8">
        <f t="shared" si="6"/>
        <v>0.33709001957068624</v>
      </c>
      <c r="AD31" t="s">
        <v>102</v>
      </c>
      <c r="AE31" t="s">
        <v>103</v>
      </c>
      <c r="AF31" t="str">
        <f t="shared" si="7"/>
        <v>Perfect Match</v>
      </c>
    </row>
    <row r="32" spans="1:32">
      <c r="A32" s="6" t="str">
        <f>IF(OR(I32&lt;0, ISTEXT(W32), ISTEXT(Y32)), "Invalid", IF(OR(B32="Conflicting Duplicate", M32="Unknown", S32="Unknown"), "Warning", "Valid"))</f>
        <v>Invalid</v>
      </c>
      <c r="B32" t="str">
        <f t="shared" si="1"/>
        <v>-</v>
      </c>
      <c r="C32" t="s">
        <v>245</v>
      </c>
      <c r="D32" s="2">
        <v>45634</v>
      </c>
      <c r="E32" t="str">
        <f t="shared" si="2"/>
        <v>December</v>
      </c>
      <c r="F32">
        <f t="shared" si="3"/>
        <v>2024</v>
      </c>
      <c r="G32" s="2">
        <v>45516</v>
      </c>
      <c r="H32" t="s">
        <v>246</v>
      </c>
      <c r="I32" s="7">
        <f t="shared" si="4"/>
        <v>-118</v>
      </c>
      <c r="J32" s="7" t="s">
        <v>2802</v>
      </c>
      <c r="K32" t="s">
        <v>118</v>
      </c>
      <c r="L32" t="s">
        <v>90</v>
      </c>
      <c r="M32" t="s">
        <v>54</v>
      </c>
      <c r="N32" t="s">
        <v>247</v>
      </c>
      <c r="O32" t="s">
        <v>248</v>
      </c>
      <c r="P32" t="s">
        <v>28</v>
      </c>
      <c r="Q32" t="s">
        <v>124</v>
      </c>
      <c r="R32" t="s">
        <v>249</v>
      </c>
      <c r="S32" t="s">
        <v>59</v>
      </c>
      <c r="T32">
        <v>8</v>
      </c>
      <c r="U32">
        <v>2445.31</v>
      </c>
      <c r="V32">
        <v>0.1</v>
      </c>
      <c r="W32">
        <v>0.1</v>
      </c>
      <c r="X32">
        <v>17606.23</v>
      </c>
      <c r="Y32">
        <f t="shared" si="0"/>
        <v>17606.23</v>
      </c>
      <c r="Z32">
        <v>12438.96</v>
      </c>
      <c r="AA32">
        <v>5167.2700000000004</v>
      </c>
      <c r="AB32">
        <f t="shared" si="5"/>
        <v>5167.2700000000004</v>
      </c>
      <c r="AC32" s="8">
        <f t="shared" si="6"/>
        <v>0.29349099722087013</v>
      </c>
      <c r="AD32" t="s">
        <v>32</v>
      </c>
      <c r="AE32" t="s">
        <v>33</v>
      </c>
      <c r="AF32" t="str">
        <f t="shared" si="7"/>
        <v>Perfect Match</v>
      </c>
    </row>
    <row r="33" spans="1:32">
      <c r="A33" t="str">
        <f>IF(OR(I33&lt;0, ISTEXT(W33), ISTEXT(Y33)), "Invalid", IF(OR(B33="Conflicting Duplicate", M33="Unknown", S33="Unknown"), "Warning", "Valid"))</f>
        <v>Valid</v>
      </c>
      <c r="B33" t="str">
        <f t="shared" si="1"/>
        <v>-</v>
      </c>
      <c r="C33" t="s">
        <v>253</v>
      </c>
      <c r="D33" s="2">
        <v>45388</v>
      </c>
      <c r="E33" t="str">
        <f t="shared" si="2"/>
        <v>April</v>
      </c>
      <c r="F33">
        <f t="shared" si="3"/>
        <v>2024</v>
      </c>
      <c r="G33" s="2">
        <v>45395</v>
      </c>
      <c r="H33" t="s">
        <v>254</v>
      </c>
      <c r="I33">
        <f t="shared" si="4"/>
        <v>7</v>
      </c>
      <c r="J33" t="s">
        <v>2795</v>
      </c>
      <c r="K33" t="s">
        <v>128</v>
      </c>
      <c r="L33" t="s">
        <v>95</v>
      </c>
      <c r="M33" t="s">
        <v>25</v>
      </c>
      <c r="N33" t="s">
        <v>136</v>
      </c>
      <c r="O33" t="s">
        <v>137</v>
      </c>
      <c r="P33" t="s">
        <v>74</v>
      </c>
      <c r="Q33" t="s">
        <v>80</v>
      </c>
      <c r="R33" t="s">
        <v>255</v>
      </c>
      <c r="S33" t="s">
        <v>31</v>
      </c>
      <c r="T33">
        <v>9</v>
      </c>
      <c r="U33">
        <v>792.11</v>
      </c>
      <c r="V33">
        <v>0.05</v>
      </c>
      <c r="W33">
        <v>0.05</v>
      </c>
      <c r="X33">
        <v>6772.54</v>
      </c>
      <c r="Y33">
        <f t="shared" si="0"/>
        <v>6772.54</v>
      </c>
      <c r="Z33">
        <v>5755.46</v>
      </c>
      <c r="AA33">
        <v>1017.08</v>
      </c>
      <c r="AB33">
        <f t="shared" si="5"/>
        <v>1017.0799999999999</v>
      </c>
      <c r="AC33" s="8">
        <f t="shared" si="6"/>
        <v>0.1501770384523384</v>
      </c>
      <c r="AD33" t="s">
        <v>32</v>
      </c>
      <c r="AE33" t="s">
        <v>33</v>
      </c>
      <c r="AF33" t="str">
        <f t="shared" si="7"/>
        <v>Perfect Match</v>
      </c>
    </row>
    <row r="34" spans="1:32">
      <c r="A34" t="str">
        <f>IF(OR(I34&lt;0, ISTEXT(W34), ISTEXT(Y34)), "Invalid", IF(OR(B34="Conflicting Duplicate", M34="Unknown", S34="Unknown"), "Warning", "Valid"))</f>
        <v>Valid</v>
      </c>
      <c r="B34" t="str">
        <f t="shared" si="1"/>
        <v>-</v>
      </c>
      <c r="C34" t="s">
        <v>259</v>
      </c>
      <c r="D34" s="2">
        <v>45406</v>
      </c>
      <c r="E34" t="str">
        <f t="shared" si="2"/>
        <v>April</v>
      </c>
      <c r="F34">
        <f t="shared" si="3"/>
        <v>2024</v>
      </c>
      <c r="G34" s="2">
        <v>45411</v>
      </c>
      <c r="H34" t="s">
        <v>260</v>
      </c>
      <c r="I34">
        <f t="shared" si="4"/>
        <v>5</v>
      </c>
      <c r="J34" t="s">
        <v>2795</v>
      </c>
      <c r="K34" t="s">
        <v>62</v>
      </c>
      <c r="L34" t="s">
        <v>90</v>
      </c>
      <c r="M34" t="s">
        <v>54</v>
      </c>
      <c r="N34" t="s">
        <v>55</v>
      </c>
      <c r="O34" t="s">
        <v>56</v>
      </c>
      <c r="P34" t="s">
        <v>28</v>
      </c>
      <c r="Q34" t="s">
        <v>48</v>
      </c>
      <c r="R34" t="s">
        <v>261</v>
      </c>
      <c r="S34" t="s">
        <v>59</v>
      </c>
      <c r="T34">
        <v>6</v>
      </c>
      <c r="U34">
        <v>1528.08</v>
      </c>
      <c r="V34">
        <v>0</v>
      </c>
      <c r="W34">
        <v>0</v>
      </c>
      <c r="X34">
        <v>9168.48</v>
      </c>
      <c r="Y34">
        <f t="shared" si="0"/>
        <v>9168.48</v>
      </c>
      <c r="Z34">
        <v>7439.77</v>
      </c>
      <c r="AA34">
        <v>1728.71</v>
      </c>
      <c r="AB34">
        <f t="shared" si="5"/>
        <v>1728.7099999999991</v>
      </c>
      <c r="AC34" s="8">
        <f t="shared" si="6"/>
        <v>0.18854924698532355</v>
      </c>
      <c r="AD34" t="s">
        <v>32</v>
      </c>
      <c r="AE34" t="s">
        <v>33</v>
      </c>
      <c r="AF34" t="str">
        <f t="shared" si="7"/>
        <v>Perfect Match</v>
      </c>
    </row>
    <row r="35" spans="1:32">
      <c r="A35" t="str">
        <f>IF(OR(I35&lt;0, ISTEXT(W35), ISTEXT(Y35)), "Invalid", IF(OR(B35="Conflicting Duplicate", M35="Unknown", S35="Unknown"), "Warning", "Valid"))</f>
        <v>Valid</v>
      </c>
      <c r="B35" t="str">
        <f t="shared" si="1"/>
        <v>-</v>
      </c>
      <c r="C35" t="s">
        <v>262</v>
      </c>
      <c r="D35" s="2">
        <v>45591</v>
      </c>
      <c r="E35" t="str">
        <f t="shared" si="2"/>
        <v>October</v>
      </c>
      <c r="F35">
        <f t="shared" si="3"/>
        <v>2024</v>
      </c>
      <c r="G35" s="2">
        <v>45593</v>
      </c>
      <c r="H35" t="s">
        <v>263</v>
      </c>
      <c r="I35">
        <f t="shared" si="4"/>
        <v>2</v>
      </c>
      <c r="J35" t="s">
        <v>2795</v>
      </c>
      <c r="K35" t="s">
        <v>264</v>
      </c>
      <c r="L35" t="s">
        <v>37</v>
      </c>
      <c r="M35" t="s">
        <v>25</v>
      </c>
      <c r="N35" t="s">
        <v>26</v>
      </c>
      <c r="O35" t="s">
        <v>27</v>
      </c>
      <c r="P35" t="s">
        <v>41</v>
      </c>
      <c r="Q35" t="s">
        <v>66</v>
      </c>
      <c r="R35" t="s">
        <v>265</v>
      </c>
      <c r="S35" t="s">
        <v>50</v>
      </c>
      <c r="T35">
        <v>9</v>
      </c>
      <c r="U35">
        <v>1399.63</v>
      </c>
      <c r="V35">
        <v>0</v>
      </c>
      <c r="W35">
        <v>0</v>
      </c>
      <c r="X35">
        <v>12596.67</v>
      </c>
      <c r="Y35">
        <f t="shared" si="0"/>
        <v>12596.67</v>
      </c>
      <c r="Z35">
        <v>10603.29</v>
      </c>
      <c r="AA35">
        <v>1993.38</v>
      </c>
      <c r="AB35">
        <f t="shared" si="5"/>
        <v>1993.3799999999992</v>
      </c>
      <c r="AC35" s="8">
        <f t="shared" si="6"/>
        <v>0.15824658421630472</v>
      </c>
      <c r="AD35" t="s">
        <v>155</v>
      </c>
      <c r="AE35" t="s">
        <v>68</v>
      </c>
      <c r="AF35" t="str">
        <f t="shared" si="7"/>
        <v>Perfect Match</v>
      </c>
    </row>
    <row r="36" spans="1:32">
      <c r="A36" t="str">
        <f>IF(OR(I36&lt;0, ISTEXT(W36), ISTEXT(Y36)), "Invalid", IF(OR(B36="Conflicting Duplicate", M36="Unknown", S36="Unknown"), "Warning", "Valid"))</f>
        <v>Valid</v>
      </c>
      <c r="B36" t="str">
        <f t="shared" si="1"/>
        <v>-</v>
      </c>
      <c r="C36" t="s">
        <v>279</v>
      </c>
      <c r="D36" s="2">
        <v>45329</v>
      </c>
      <c r="E36" t="str">
        <f t="shared" si="2"/>
        <v>February</v>
      </c>
      <c r="F36">
        <f t="shared" si="3"/>
        <v>2024</v>
      </c>
      <c r="G36" s="2">
        <v>45337</v>
      </c>
      <c r="H36" t="s">
        <v>280</v>
      </c>
      <c r="I36">
        <f t="shared" si="4"/>
        <v>8</v>
      </c>
      <c r="J36" t="s">
        <v>2795</v>
      </c>
      <c r="K36" t="s">
        <v>114</v>
      </c>
      <c r="L36" t="s">
        <v>24</v>
      </c>
      <c r="M36" t="s">
        <v>63</v>
      </c>
      <c r="N36" t="s">
        <v>190</v>
      </c>
      <c r="O36" t="s">
        <v>191</v>
      </c>
      <c r="P36" t="s">
        <v>41</v>
      </c>
      <c r="Q36" t="s">
        <v>66</v>
      </c>
      <c r="R36" t="s">
        <v>281</v>
      </c>
      <c r="S36" t="s">
        <v>44</v>
      </c>
      <c r="T36">
        <v>5</v>
      </c>
      <c r="U36">
        <v>255.87</v>
      </c>
      <c r="V36">
        <v>0</v>
      </c>
      <c r="W36">
        <v>0</v>
      </c>
      <c r="X36">
        <v>1279.3499999999999</v>
      </c>
      <c r="Y36">
        <f t="shared" si="0"/>
        <v>1279.3499999999999</v>
      </c>
      <c r="Z36">
        <v>1091.54</v>
      </c>
      <c r="AA36">
        <v>187.81</v>
      </c>
      <c r="AB36">
        <f t="shared" si="5"/>
        <v>187.80999999999995</v>
      </c>
      <c r="AC36" s="8">
        <f t="shared" si="6"/>
        <v>0.14680110993864068</v>
      </c>
      <c r="AD36" t="s">
        <v>32</v>
      </c>
      <c r="AE36" t="s">
        <v>33</v>
      </c>
      <c r="AF36" t="str">
        <f t="shared" si="7"/>
        <v>Perfect Match</v>
      </c>
    </row>
    <row r="37" spans="1:32">
      <c r="A37" s="6" t="str">
        <f>IF(OR(I37&lt;0, ISTEXT(W37), ISTEXT(Y37)), "Invalid", IF(OR(B37="Conflicting Duplicate", M37="Unknown", S37="Unknown"), "Warning", "Valid"))</f>
        <v>Warning</v>
      </c>
      <c r="B37" t="str">
        <f t="shared" si="1"/>
        <v>-</v>
      </c>
      <c r="C37" t="s">
        <v>282</v>
      </c>
      <c r="D37" s="2">
        <v>45536</v>
      </c>
      <c r="E37" t="str">
        <f t="shared" si="2"/>
        <v>September</v>
      </c>
      <c r="F37">
        <f t="shared" si="3"/>
        <v>2024</v>
      </c>
      <c r="G37" s="2">
        <v>45542</v>
      </c>
      <c r="H37" t="s">
        <v>283</v>
      </c>
      <c r="I37">
        <f t="shared" si="4"/>
        <v>6</v>
      </c>
      <c r="J37" t="s">
        <v>2795</v>
      </c>
      <c r="K37" t="s">
        <v>47</v>
      </c>
      <c r="L37" t="s">
        <v>95</v>
      </c>
      <c r="M37" t="s">
        <v>25</v>
      </c>
      <c r="N37" t="s">
        <v>26</v>
      </c>
      <c r="O37" t="s">
        <v>27</v>
      </c>
      <c r="P37" t="s">
        <v>28</v>
      </c>
      <c r="Q37" t="s">
        <v>124</v>
      </c>
      <c r="R37" t="s">
        <v>284</v>
      </c>
      <c r="S37" s="4" t="s">
        <v>2790</v>
      </c>
      <c r="T37">
        <v>9</v>
      </c>
      <c r="U37">
        <v>1389.48</v>
      </c>
      <c r="V37">
        <v>0.1</v>
      </c>
      <c r="W37">
        <v>0.1</v>
      </c>
      <c r="X37">
        <v>11254.79</v>
      </c>
      <c r="Y37">
        <f t="shared" si="0"/>
        <v>11254.79</v>
      </c>
      <c r="Z37">
        <v>6578.06</v>
      </c>
      <c r="AA37">
        <v>4676.7299999999996</v>
      </c>
      <c r="AB37">
        <f t="shared" si="5"/>
        <v>4676.7300000000005</v>
      </c>
      <c r="AC37" s="8">
        <f t="shared" si="6"/>
        <v>0.41553240886769099</v>
      </c>
      <c r="AD37" t="s">
        <v>111</v>
      </c>
      <c r="AE37" t="s">
        <v>103</v>
      </c>
      <c r="AF37" t="str">
        <f t="shared" si="7"/>
        <v>Perfect Match</v>
      </c>
    </row>
    <row r="38" spans="1:32">
      <c r="A38" t="str">
        <f>IF(OR(I38&lt;0, ISTEXT(W38), ISTEXT(Y38)), "Invalid", IF(OR(B38="Conflicting Duplicate", M38="Unknown", S38="Unknown"), "Warning", "Valid"))</f>
        <v>Valid</v>
      </c>
      <c r="B38" t="str">
        <f t="shared" si="1"/>
        <v>-</v>
      </c>
      <c r="C38" t="s">
        <v>285</v>
      </c>
      <c r="D38" s="2">
        <v>45493</v>
      </c>
      <c r="E38" t="str">
        <f t="shared" si="2"/>
        <v>July</v>
      </c>
      <c r="F38">
        <f t="shared" si="3"/>
        <v>2024</v>
      </c>
      <c r="G38" s="2">
        <v>45498</v>
      </c>
      <c r="H38" t="s">
        <v>286</v>
      </c>
      <c r="I38">
        <f t="shared" si="4"/>
        <v>5</v>
      </c>
      <c r="J38" t="s">
        <v>2795</v>
      </c>
      <c r="K38" t="s">
        <v>114</v>
      </c>
      <c r="L38" t="s">
        <v>90</v>
      </c>
      <c r="M38" t="s">
        <v>38</v>
      </c>
      <c r="N38" t="s">
        <v>166</v>
      </c>
      <c r="O38" t="s">
        <v>167</v>
      </c>
      <c r="P38" t="s">
        <v>28</v>
      </c>
      <c r="Q38" t="s">
        <v>91</v>
      </c>
      <c r="R38" t="s">
        <v>287</v>
      </c>
      <c r="S38" t="s">
        <v>44</v>
      </c>
      <c r="T38">
        <v>5</v>
      </c>
      <c r="U38">
        <v>4133.8500000000004</v>
      </c>
      <c r="V38">
        <v>0.2</v>
      </c>
      <c r="W38">
        <v>0.2</v>
      </c>
      <c r="X38">
        <v>16535.400000000001</v>
      </c>
      <c r="Y38">
        <f t="shared" si="0"/>
        <v>16535.400000000001</v>
      </c>
      <c r="Z38">
        <v>12990.21</v>
      </c>
      <c r="AA38">
        <v>3545.19</v>
      </c>
      <c r="AB38">
        <f t="shared" si="5"/>
        <v>3545.1900000000023</v>
      </c>
      <c r="AC38" s="8">
        <f t="shared" si="6"/>
        <v>0.21440001451431487</v>
      </c>
      <c r="AD38" t="s">
        <v>32</v>
      </c>
      <c r="AE38" t="s">
        <v>68</v>
      </c>
      <c r="AF38" t="str">
        <f t="shared" si="7"/>
        <v>Perfect Match</v>
      </c>
    </row>
    <row r="39" spans="1:32">
      <c r="A39" t="str">
        <f>IF(OR(I39&lt;0, ISTEXT(W39), ISTEXT(Y39)), "Invalid", IF(OR(B39="Conflicting Duplicate", M39="Unknown", S39="Unknown"), "Warning", "Valid"))</f>
        <v>Valid</v>
      </c>
      <c r="B39" t="str">
        <f t="shared" si="1"/>
        <v>-</v>
      </c>
      <c r="C39" t="s">
        <v>288</v>
      </c>
      <c r="D39" s="2">
        <v>45486</v>
      </c>
      <c r="E39" t="str">
        <f t="shared" si="2"/>
        <v>July</v>
      </c>
      <c r="F39">
        <f t="shared" si="3"/>
        <v>2024</v>
      </c>
      <c r="G39" s="2">
        <v>45492</v>
      </c>
      <c r="H39" t="s">
        <v>289</v>
      </c>
      <c r="I39">
        <f t="shared" si="4"/>
        <v>6</v>
      </c>
      <c r="J39" t="s">
        <v>2795</v>
      </c>
      <c r="K39" t="s">
        <v>62</v>
      </c>
      <c r="L39" t="s">
        <v>90</v>
      </c>
      <c r="M39" t="s">
        <v>38</v>
      </c>
      <c r="N39" t="s">
        <v>166</v>
      </c>
      <c r="O39" t="s">
        <v>167</v>
      </c>
      <c r="P39" t="s">
        <v>28</v>
      </c>
      <c r="Q39" t="s">
        <v>91</v>
      </c>
      <c r="R39" t="s">
        <v>290</v>
      </c>
      <c r="S39" t="s">
        <v>44</v>
      </c>
      <c r="T39">
        <v>3</v>
      </c>
      <c r="U39">
        <v>275.76</v>
      </c>
      <c r="V39">
        <v>0.2</v>
      </c>
      <c r="W39">
        <v>0.2</v>
      </c>
      <c r="X39">
        <v>661.82</v>
      </c>
      <c r="Y39">
        <f t="shared" si="0"/>
        <v>661.82</v>
      </c>
      <c r="Z39">
        <v>481.47</v>
      </c>
      <c r="AA39">
        <v>180.35</v>
      </c>
      <c r="AB39">
        <f t="shared" si="5"/>
        <v>180.35000000000002</v>
      </c>
      <c r="AC39" s="8">
        <f t="shared" si="6"/>
        <v>0.27250611948868275</v>
      </c>
      <c r="AD39" t="s">
        <v>102</v>
      </c>
      <c r="AE39" t="s">
        <v>68</v>
      </c>
      <c r="AF39" t="str">
        <f t="shared" si="7"/>
        <v>Perfect Match</v>
      </c>
    </row>
    <row r="40" spans="1:32">
      <c r="A40" t="str">
        <f>IF(OR(I40&lt;0, ISTEXT(W40), ISTEXT(Y40)), "Invalid", IF(OR(B40="Conflicting Duplicate", M40="Unknown", S40="Unknown"), "Warning", "Valid"))</f>
        <v>Valid</v>
      </c>
      <c r="B40" t="str">
        <f t="shared" si="1"/>
        <v>-</v>
      </c>
      <c r="C40" t="s">
        <v>291</v>
      </c>
      <c r="D40" s="2">
        <v>45398</v>
      </c>
      <c r="E40" t="str">
        <f t="shared" si="2"/>
        <v>April</v>
      </c>
      <c r="F40">
        <f t="shared" si="3"/>
        <v>2024</v>
      </c>
      <c r="G40" s="2">
        <v>45398</v>
      </c>
      <c r="H40" t="s">
        <v>292</v>
      </c>
      <c r="I40">
        <f t="shared" si="4"/>
        <v>0</v>
      </c>
      <c r="J40" t="s">
        <v>2795</v>
      </c>
      <c r="K40" t="s">
        <v>71</v>
      </c>
      <c r="L40" t="s">
        <v>95</v>
      </c>
      <c r="M40" t="s">
        <v>38</v>
      </c>
      <c r="N40" t="s">
        <v>145</v>
      </c>
      <c r="O40" t="s">
        <v>146</v>
      </c>
      <c r="P40" t="s">
        <v>41</v>
      </c>
      <c r="Q40" t="s">
        <v>158</v>
      </c>
      <c r="R40" t="s">
        <v>293</v>
      </c>
      <c r="S40" t="s">
        <v>59</v>
      </c>
      <c r="T40">
        <v>1</v>
      </c>
      <c r="U40">
        <v>949.59</v>
      </c>
      <c r="V40">
        <v>0</v>
      </c>
      <c r="W40">
        <v>0</v>
      </c>
      <c r="X40">
        <v>949.59</v>
      </c>
      <c r="Y40">
        <f t="shared" si="0"/>
        <v>949.59</v>
      </c>
      <c r="Z40">
        <v>751.25</v>
      </c>
      <c r="AA40">
        <v>198.34</v>
      </c>
      <c r="AB40">
        <f t="shared" si="5"/>
        <v>198.34000000000003</v>
      </c>
      <c r="AC40" s="8">
        <f t="shared" si="6"/>
        <v>0.20886909087079689</v>
      </c>
      <c r="AD40" t="s">
        <v>32</v>
      </c>
      <c r="AE40" t="s">
        <v>33</v>
      </c>
      <c r="AF40" t="str">
        <f t="shared" si="7"/>
        <v>Perfect Match</v>
      </c>
    </row>
    <row r="41" spans="1:32">
      <c r="A41" s="6" t="str">
        <f>IF(OR(I41&lt;0, ISTEXT(W41), ISTEXT(Y41)), "Invalid", IF(OR(B41="Conflicting Duplicate", M41="Unknown", S41="Unknown"), "Warning", "Valid"))</f>
        <v>Invalid</v>
      </c>
      <c r="B41" t="str">
        <f t="shared" si="1"/>
        <v>-</v>
      </c>
      <c r="C41" t="s">
        <v>294</v>
      </c>
      <c r="D41" s="2">
        <v>45595</v>
      </c>
      <c r="E41" t="str">
        <f t="shared" si="2"/>
        <v>October</v>
      </c>
      <c r="F41">
        <f t="shared" si="3"/>
        <v>2024</v>
      </c>
      <c r="G41" s="2">
        <v>45333</v>
      </c>
      <c r="H41" t="s">
        <v>295</v>
      </c>
      <c r="I41" s="7">
        <f t="shared" si="4"/>
        <v>-262</v>
      </c>
      <c r="J41" s="7" t="s">
        <v>2802</v>
      </c>
      <c r="K41" t="s">
        <v>132</v>
      </c>
      <c r="L41" t="s">
        <v>95</v>
      </c>
      <c r="M41" t="s">
        <v>25</v>
      </c>
      <c r="N41" t="s">
        <v>26</v>
      </c>
      <c r="O41" t="s">
        <v>27</v>
      </c>
      <c r="P41" t="s">
        <v>74</v>
      </c>
      <c r="Q41" t="s">
        <v>171</v>
      </c>
      <c r="R41" t="s">
        <v>296</v>
      </c>
      <c r="S41" t="s">
        <v>59</v>
      </c>
      <c r="T41">
        <v>9</v>
      </c>
      <c r="U41">
        <v>3042.29</v>
      </c>
      <c r="V41">
        <v>0.2</v>
      </c>
      <c r="W41">
        <v>0.2</v>
      </c>
      <c r="X41">
        <v>21904.49</v>
      </c>
      <c r="Y41">
        <f t="shared" si="0"/>
        <v>21904.49</v>
      </c>
      <c r="Z41">
        <v>13570.55</v>
      </c>
      <c r="AA41">
        <v>8333.94</v>
      </c>
      <c r="AB41">
        <f t="shared" si="5"/>
        <v>8333.9400000000023</v>
      </c>
      <c r="AC41" s="8">
        <f t="shared" si="6"/>
        <v>0.38046720101677789</v>
      </c>
      <c r="AD41" t="s">
        <v>32</v>
      </c>
      <c r="AE41" t="s">
        <v>33</v>
      </c>
      <c r="AF41" t="str">
        <f t="shared" si="7"/>
        <v>Perfect Match</v>
      </c>
    </row>
    <row r="42" spans="1:32">
      <c r="A42" s="6" t="str">
        <f>IF(OR(I42&lt;0, ISTEXT(W42), ISTEXT(Y42)), "Invalid", IF(OR(B42="Conflicting Duplicate", M42="Unknown", S42="Unknown"), "Warning", "Valid"))</f>
        <v>Invalid</v>
      </c>
      <c r="B42" t="str">
        <f t="shared" si="1"/>
        <v>-</v>
      </c>
      <c r="C42" t="s">
        <v>297</v>
      </c>
      <c r="D42" s="2">
        <v>45316</v>
      </c>
      <c r="E42" t="str">
        <f t="shared" si="2"/>
        <v>January</v>
      </c>
      <c r="F42">
        <f t="shared" si="3"/>
        <v>2024</v>
      </c>
      <c r="G42" s="2">
        <v>45293</v>
      </c>
      <c r="H42" t="s">
        <v>298</v>
      </c>
      <c r="I42" s="7">
        <f t="shared" si="4"/>
        <v>-23</v>
      </c>
      <c r="J42" s="7" t="s">
        <v>2802</v>
      </c>
      <c r="K42" t="s">
        <v>132</v>
      </c>
      <c r="L42" t="s">
        <v>95</v>
      </c>
      <c r="M42" t="s">
        <v>25</v>
      </c>
      <c r="N42" t="s">
        <v>236</v>
      </c>
      <c r="O42" t="s">
        <v>237</v>
      </c>
      <c r="P42" t="s">
        <v>28</v>
      </c>
      <c r="Q42" t="s">
        <v>153</v>
      </c>
      <c r="R42" t="s">
        <v>299</v>
      </c>
      <c r="S42" t="s">
        <v>44</v>
      </c>
      <c r="T42">
        <v>2</v>
      </c>
      <c r="U42">
        <v>2832.77</v>
      </c>
      <c r="V42">
        <v>0.15</v>
      </c>
      <c r="W42">
        <v>0.15</v>
      </c>
      <c r="X42">
        <v>4815.71</v>
      </c>
      <c r="Y42">
        <f t="shared" si="0"/>
        <v>4815.71</v>
      </c>
      <c r="Z42">
        <v>3027.75</v>
      </c>
      <c r="AA42">
        <v>1917.47</v>
      </c>
      <c r="AB42">
        <f t="shared" si="5"/>
        <v>1787.96</v>
      </c>
      <c r="AC42" s="8">
        <f t="shared" si="6"/>
        <v>0.37127650959048614</v>
      </c>
      <c r="AD42" t="s">
        <v>32</v>
      </c>
      <c r="AE42" t="s">
        <v>33</v>
      </c>
      <c r="AF42" t="str">
        <f t="shared" si="7"/>
        <v>Mismatch Found</v>
      </c>
    </row>
    <row r="43" spans="1:32">
      <c r="A43" t="str">
        <f>IF(OR(I43&lt;0, ISTEXT(W43), ISTEXT(Y43)), "Invalid", IF(OR(B43="Conflicting Duplicate", M43="Unknown", S43="Unknown"), "Warning", "Valid"))</f>
        <v>Valid</v>
      </c>
      <c r="B43" t="str">
        <f t="shared" si="1"/>
        <v>-</v>
      </c>
      <c r="C43" t="s">
        <v>300</v>
      </c>
      <c r="D43" s="2">
        <v>45649</v>
      </c>
      <c r="E43" t="str">
        <f t="shared" si="2"/>
        <v>December</v>
      </c>
      <c r="F43">
        <f t="shared" si="3"/>
        <v>2024</v>
      </c>
      <c r="G43" s="2">
        <v>45655</v>
      </c>
      <c r="H43" t="s">
        <v>301</v>
      </c>
      <c r="I43">
        <f t="shared" si="4"/>
        <v>6</v>
      </c>
      <c r="J43" t="s">
        <v>2795</v>
      </c>
      <c r="K43" t="s">
        <v>128</v>
      </c>
      <c r="L43" t="s">
        <v>90</v>
      </c>
      <c r="M43" t="s">
        <v>38</v>
      </c>
      <c r="N43" t="s">
        <v>228</v>
      </c>
      <c r="O43" t="s">
        <v>229</v>
      </c>
      <c r="P43" t="s">
        <v>28</v>
      </c>
      <c r="Q43" t="s">
        <v>29</v>
      </c>
      <c r="R43" t="s">
        <v>302</v>
      </c>
      <c r="S43" t="s">
        <v>50</v>
      </c>
      <c r="T43">
        <v>7</v>
      </c>
      <c r="U43">
        <v>447.84</v>
      </c>
      <c r="V43">
        <v>0</v>
      </c>
      <c r="W43">
        <v>0</v>
      </c>
      <c r="X43">
        <v>3134.88</v>
      </c>
      <c r="Y43">
        <f t="shared" si="0"/>
        <v>3134.88</v>
      </c>
      <c r="Z43">
        <v>2367.63</v>
      </c>
      <c r="AA43">
        <v>767.25</v>
      </c>
      <c r="AB43">
        <f t="shared" si="5"/>
        <v>767.25</v>
      </c>
      <c r="AC43" s="8">
        <f t="shared" si="6"/>
        <v>0.2447462103812586</v>
      </c>
      <c r="AD43" t="s">
        <v>102</v>
      </c>
      <c r="AE43" t="s">
        <v>103</v>
      </c>
      <c r="AF43" t="str">
        <f t="shared" si="7"/>
        <v>Perfect Match</v>
      </c>
    </row>
    <row r="44" spans="1:32">
      <c r="A44" t="str">
        <f>IF(OR(I44&lt;0, ISTEXT(W44), ISTEXT(Y44)), "Invalid", IF(OR(B44="Conflicting Duplicate", M44="Unknown", S44="Unknown"), "Warning", "Valid"))</f>
        <v>Valid</v>
      </c>
      <c r="B44" t="str">
        <f t="shared" si="1"/>
        <v>-</v>
      </c>
      <c r="C44" t="s">
        <v>303</v>
      </c>
      <c r="D44" s="2">
        <v>45404</v>
      </c>
      <c r="E44" t="str">
        <f t="shared" si="2"/>
        <v>April</v>
      </c>
      <c r="F44">
        <f t="shared" si="3"/>
        <v>2024</v>
      </c>
      <c r="G44" s="2">
        <v>45409</v>
      </c>
      <c r="H44" t="s">
        <v>304</v>
      </c>
      <c r="I44">
        <f t="shared" si="4"/>
        <v>5</v>
      </c>
      <c r="J44" t="s">
        <v>2795</v>
      </c>
      <c r="K44" t="s">
        <v>36</v>
      </c>
      <c r="L44" t="s">
        <v>95</v>
      </c>
      <c r="M44" t="s">
        <v>63</v>
      </c>
      <c r="N44" t="s">
        <v>64</v>
      </c>
      <c r="O44" t="s">
        <v>65</v>
      </c>
      <c r="P44" t="s">
        <v>28</v>
      </c>
      <c r="Q44" t="s">
        <v>29</v>
      </c>
      <c r="R44" t="s">
        <v>305</v>
      </c>
      <c r="S44" t="s">
        <v>31</v>
      </c>
      <c r="T44">
        <v>1</v>
      </c>
      <c r="U44">
        <v>4280.1899999999996</v>
      </c>
      <c r="V44">
        <v>0.05</v>
      </c>
      <c r="W44">
        <v>0.05</v>
      </c>
      <c r="X44">
        <v>4066.18</v>
      </c>
      <c r="Y44">
        <f t="shared" si="0"/>
        <v>4066.18</v>
      </c>
      <c r="Z44">
        <v>2628.92</v>
      </c>
      <c r="AA44">
        <v>1437.26</v>
      </c>
      <c r="AB44">
        <f t="shared" si="5"/>
        <v>1437.2599999999998</v>
      </c>
      <c r="AC44" s="8">
        <f t="shared" si="6"/>
        <v>0.35346689029998668</v>
      </c>
      <c r="AD44" t="s">
        <v>32</v>
      </c>
      <c r="AE44" t="s">
        <v>33</v>
      </c>
      <c r="AF44" t="str">
        <f t="shared" si="7"/>
        <v>Perfect Match</v>
      </c>
    </row>
    <row r="45" spans="1:32">
      <c r="A45" t="str">
        <f>IF(OR(I45&lt;0, ISTEXT(W45), ISTEXT(Y45)), "Invalid", IF(OR(B45="Conflicting Duplicate", M45="Unknown", S45="Unknown"), "Warning", "Valid"))</f>
        <v>Valid</v>
      </c>
      <c r="B45" t="str">
        <f t="shared" si="1"/>
        <v>-</v>
      </c>
      <c r="C45" t="s">
        <v>312</v>
      </c>
      <c r="D45" s="2">
        <v>45606</v>
      </c>
      <c r="E45" t="str">
        <f t="shared" si="2"/>
        <v>November</v>
      </c>
      <c r="F45">
        <f t="shared" si="3"/>
        <v>2024</v>
      </c>
      <c r="G45" s="2">
        <v>45609</v>
      </c>
      <c r="H45" t="s">
        <v>313</v>
      </c>
      <c r="I45">
        <f t="shared" si="4"/>
        <v>3</v>
      </c>
      <c r="J45" t="s">
        <v>2795</v>
      </c>
      <c r="K45" t="s">
        <v>47</v>
      </c>
      <c r="L45" t="s">
        <v>90</v>
      </c>
      <c r="M45" t="s">
        <v>38</v>
      </c>
      <c r="N45" t="s">
        <v>228</v>
      </c>
      <c r="O45" t="s">
        <v>229</v>
      </c>
      <c r="P45" t="s">
        <v>28</v>
      </c>
      <c r="Q45" t="s">
        <v>124</v>
      </c>
      <c r="R45" t="s">
        <v>314</v>
      </c>
      <c r="S45" t="s">
        <v>31</v>
      </c>
      <c r="T45">
        <v>9</v>
      </c>
      <c r="U45">
        <v>2211.12</v>
      </c>
      <c r="V45">
        <v>0</v>
      </c>
      <c r="W45">
        <v>0</v>
      </c>
      <c r="X45">
        <v>19900.080000000002</v>
      </c>
      <c r="Y45">
        <f t="shared" si="0"/>
        <v>19900.080000000002</v>
      </c>
      <c r="Z45">
        <v>10962.66</v>
      </c>
      <c r="AA45">
        <v>8937.42</v>
      </c>
      <c r="AB45">
        <f t="shared" si="5"/>
        <v>8937.4200000000019</v>
      </c>
      <c r="AC45" s="8">
        <f t="shared" si="6"/>
        <v>0.44911477742803052</v>
      </c>
      <c r="AD45" t="s">
        <v>155</v>
      </c>
      <c r="AE45" t="s">
        <v>103</v>
      </c>
      <c r="AF45" t="str">
        <f t="shared" si="7"/>
        <v>Perfect Match</v>
      </c>
    </row>
    <row r="46" spans="1:32">
      <c r="A46" t="str">
        <f>IF(OR(I46&lt;0, ISTEXT(W46), ISTEXT(Y46)), "Invalid", IF(OR(B46="Conflicting Duplicate", M46="Unknown", S46="Unknown"), "Warning", "Valid"))</f>
        <v>Valid</v>
      </c>
      <c r="B46" t="str">
        <f t="shared" si="1"/>
        <v>-</v>
      </c>
      <c r="C46" t="s">
        <v>315</v>
      </c>
      <c r="D46" s="2">
        <v>45391</v>
      </c>
      <c r="E46" t="str">
        <f t="shared" si="2"/>
        <v>April</v>
      </c>
      <c r="F46">
        <f t="shared" si="3"/>
        <v>2024</v>
      </c>
      <c r="G46" s="2">
        <v>45396</v>
      </c>
      <c r="H46" t="s">
        <v>316</v>
      </c>
      <c r="I46">
        <f t="shared" si="4"/>
        <v>5</v>
      </c>
      <c r="J46" t="s">
        <v>2795</v>
      </c>
      <c r="K46" t="s">
        <v>79</v>
      </c>
      <c r="L46" t="s">
        <v>37</v>
      </c>
      <c r="M46" t="s">
        <v>63</v>
      </c>
      <c r="N46" t="s">
        <v>180</v>
      </c>
      <c r="O46" t="s">
        <v>181</v>
      </c>
      <c r="P46" t="s">
        <v>74</v>
      </c>
      <c r="Q46" t="s">
        <v>274</v>
      </c>
      <c r="R46" t="s">
        <v>317</v>
      </c>
      <c r="S46" t="s">
        <v>44</v>
      </c>
      <c r="T46">
        <v>7</v>
      </c>
      <c r="U46">
        <v>3417.09</v>
      </c>
      <c r="V46">
        <v>0.1</v>
      </c>
      <c r="W46">
        <v>0.1</v>
      </c>
      <c r="X46">
        <v>21527.67</v>
      </c>
      <c r="Y46">
        <f t="shared" si="0"/>
        <v>21527.67</v>
      </c>
      <c r="Z46">
        <v>18287.580000000002</v>
      </c>
      <c r="AA46">
        <v>3240.09</v>
      </c>
      <c r="AB46">
        <f t="shared" si="5"/>
        <v>3240.0899999999965</v>
      </c>
      <c r="AC46" s="8">
        <f t="shared" si="6"/>
        <v>0.15050815996343295</v>
      </c>
      <c r="AD46" t="s">
        <v>102</v>
      </c>
      <c r="AE46" t="s">
        <v>103</v>
      </c>
      <c r="AF46" t="str">
        <f t="shared" si="7"/>
        <v>Perfect Match</v>
      </c>
    </row>
    <row r="47" spans="1:32">
      <c r="A47" s="6" t="str">
        <f>IF(OR(I47&lt;0, ISTEXT(W47), ISTEXT(Y47)), "Invalid", IF(OR(B47="Conflicting Duplicate", M47="Unknown", S47="Unknown"), "Warning", "Valid"))</f>
        <v>Invalid</v>
      </c>
      <c r="B47" t="str">
        <f t="shared" si="1"/>
        <v>-</v>
      </c>
      <c r="C47" t="s">
        <v>324</v>
      </c>
      <c r="D47" s="2">
        <v>45333</v>
      </c>
      <c r="E47" t="str">
        <f t="shared" si="2"/>
        <v>February</v>
      </c>
      <c r="F47">
        <f t="shared" si="3"/>
        <v>2024</v>
      </c>
      <c r="G47" s="2">
        <v>45329</v>
      </c>
      <c r="H47" t="s">
        <v>325</v>
      </c>
      <c r="I47" s="7">
        <f t="shared" si="4"/>
        <v>-4</v>
      </c>
      <c r="J47" s="7" t="s">
        <v>2802</v>
      </c>
      <c r="K47" t="s">
        <v>23</v>
      </c>
      <c r="L47" t="s">
        <v>95</v>
      </c>
      <c r="M47" t="s">
        <v>54</v>
      </c>
      <c r="N47" t="s">
        <v>247</v>
      </c>
      <c r="O47" t="s">
        <v>248</v>
      </c>
      <c r="P47" t="s">
        <v>41</v>
      </c>
      <c r="Q47" t="s">
        <v>42</v>
      </c>
      <c r="R47" t="s">
        <v>326</v>
      </c>
      <c r="S47" t="s">
        <v>50</v>
      </c>
      <c r="T47">
        <v>7</v>
      </c>
      <c r="U47">
        <v>2287.4699999999998</v>
      </c>
      <c r="V47">
        <v>0.15</v>
      </c>
      <c r="W47">
        <v>0.15</v>
      </c>
      <c r="X47">
        <v>13610.45</v>
      </c>
      <c r="Y47">
        <f t="shared" si="0"/>
        <v>13610.45</v>
      </c>
      <c r="Z47">
        <v>10039.049999999999</v>
      </c>
      <c r="AA47">
        <v>3571.4</v>
      </c>
      <c r="AB47">
        <f t="shared" si="5"/>
        <v>3571.4000000000015</v>
      </c>
      <c r="AC47" s="8">
        <f t="shared" si="6"/>
        <v>0.26240131663537952</v>
      </c>
      <c r="AD47" t="s">
        <v>32</v>
      </c>
      <c r="AE47" t="s">
        <v>33</v>
      </c>
      <c r="AF47" t="str">
        <f t="shared" si="7"/>
        <v>Perfect Match</v>
      </c>
    </row>
    <row r="48" spans="1:32">
      <c r="A48" t="str">
        <f>IF(OR(I48&lt;0, ISTEXT(W48), ISTEXT(Y48)), "Invalid", IF(OR(B48="Conflicting Duplicate", M48="Unknown", S48="Unknown"), "Warning", "Valid"))</f>
        <v>Valid</v>
      </c>
      <c r="B48" t="str">
        <f t="shared" si="1"/>
        <v>-</v>
      </c>
      <c r="C48" t="s">
        <v>336</v>
      </c>
      <c r="D48" s="2">
        <v>45599</v>
      </c>
      <c r="E48" t="str">
        <f t="shared" si="2"/>
        <v>November</v>
      </c>
      <c r="F48">
        <f t="shared" si="3"/>
        <v>2024</v>
      </c>
      <c r="G48" s="2">
        <v>45607</v>
      </c>
      <c r="H48" t="s">
        <v>337</v>
      </c>
      <c r="I48">
        <f t="shared" si="4"/>
        <v>8</v>
      </c>
      <c r="J48" t="s">
        <v>2795</v>
      </c>
      <c r="K48" t="s">
        <v>62</v>
      </c>
      <c r="L48" t="s">
        <v>90</v>
      </c>
      <c r="M48" t="s">
        <v>38</v>
      </c>
      <c r="N48" t="s">
        <v>228</v>
      </c>
      <c r="O48" t="s">
        <v>229</v>
      </c>
      <c r="P48" t="s">
        <v>28</v>
      </c>
      <c r="Q48" t="s">
        <v>91</v>
      </c>
      <c r="R48" t="s">
        <v>338</v>
      </c>
      <c r="S48" t="s">
        <v>31</v>
      </c>
      <c r="T48">
        <v>3</v>
      </c>
      <c r="U48">
        <v>3406.27</v>
      </c>
      <c r="V48">
        <v>0</v>
      </c>
      <c r="W48">
        <v>0</v>
      </c>
      <c r="X48">
        <v>10218.81</v>
      </c>
      <c r="Y48">
        <f t="shared" si="0"/>
        <v>10218.81</v>
      </c>
      <c r="Z48">
        <v>7616.97</v>
      </c>
      <c r="AA48">
        <v>2601.84</v>
      </c>
      <c r="AB48">
        <f t="shared" si="5"/>
        <v>2601.8399999999992</v>
      </c>
      <c r="AC48" s="8">
        <f t="shared" si="6"/>
        <v>0.2546128169522674</v>
      </c>
      <c r="AD48" t="s">
        <v>32</v>
      </c>
      <c r="AE48" t="s">
        <v>33</v>
      </c>
      <c r="AF48" t="str">
        <f t="shared" si="7"/>
        <v>Perfect Match</v>
      </c>
    </row>
    <row r="49" spans="1:32">
      <c r="A49" t="str">
        <f>IF(OR(I49&lt;0, ISTEXT(W49), ISTEXT(Y49)), "Invalid", IF(OR(B49="Conflicting Duplicate", M49="Unknown", S49="Unknown"), "Warning", "Valid"))</f>
        <v>Valid</v>
      </c>
      <c r="B49" t="str">
        <f t="shared" si="1"/>
        <v>-</v>
      </c>
      <c r="C49" t="s">
        <v>348</v>
      </c>
      <c r="D49" s="2">
        <v>45514</v>
      </c>
      <c r="E49" t="str">
        <f t="shared" si="2"/>
        <v>August</v>
      </c>
      <c r="F49">
        <f t="shared" si="3"/>
        <v>2024</v>
      </c>
      <c r="G49" s="2">
        <v>45518</v>
      </c>
      <c r="H49" t="s">
        <v>349</v>
      </c>
      <c r="I49">
        <f t="shared" si="4"/>
        <v>4</v>
      </c>
      <c r="J49" t="s">
        <v>2795</v>
      </c>
      <c r="K49" t="s">
        <v>128</v>
      </c>
      <c r="L49" t="s">
        <v>37</v>
      </c>
      <c r="M49" t="s">
        <v>25</v>
      </c>
      <c r="N49" t="s">
        <v>350</v>
      </c>
      <c r="O49" t="s">
        <v>351</v>
      </c>
      <c r="P49" t="s">
        <v>28</v>
      </c>
      <c r="Q49" t="s">
        <v>124</v>
      </c>
      <c r="R49" t="s">
        <v>352</v>
      </c>
      <c r="S49" t="s">
        <v>31</v>
      </c>
      <c r="T49">
        <v>4</v>
      </c>
      <c r="U49">
        <v>1182.32</v>
      </c>
      <c r="V49">
        <v>0.1</v>
      </c>
      <c r="W49">
        <v>0.1</v>
      </c>
      <c r="X49">
        <v>4256.3500000000004</v>
      </c>
      <c r="Y49">
        <f t="shared" si="0"/>
        <v>4256.3500000000004</v>
      </c>
      <c r="Z49">
        <v>2495.33</v>
      </c>
      <c r="AA49">
        <v>1761.02</v>
      </c>
      <c r="AB49">
        <f t="shared" si="5"/>
        <v>1761.0200000000004</v>
      </c>
      <c r="AC49" s="8">
        <f t="shared" si="6"/>
        <v>0.41373947161300184</v>
      </c>
      <c r="AD49" t="s">
        <v>111</v>
      </c>
      <c r="AE49" t="s">
        <v>103</v>
      </c>
      <c r="AF49" t="str">
        <f t="shared" si="7"/>
        <v>Perfect Match</v>
      </c>
    </row>
    <row r="50" spans="1:32">
      <c r="A50" s="6" t="str">
        <f>IF(OR(I50&lt;0, ISTEXT(W50), ISTEXT(Y50)), "Invalid", IF(OR(B50="Conflicting Duplicate", M50="Unknown", S50="Unknown"), "Warning", "Valid"))</f>
        <v>Invalid</v>
      </c>
      <c r="B50" t="str">
        <f t="shared" si="1"/>
        <v>-</v>
      </c>
      <c r="C50" t="s">
        <v>356</v>
      </c>
      <c r="D50" s="2">
        <v>45507</v>
      </c>
      <c r="E50" t="str">
        <f t="shared" si="2"/>
        <v>August</v>
      </c>
      <c r="F50">
        <f t="shared" si="3"/>
        <v>2024</v>
      </c>
      <c r="G50" s="2">
        <v>45390</v>
      </c>
      <c r="H50" t="s">
        <v>357</v>
      </c>
      <c r="I50" s="7">
        <f t="shared" si="4"/>
        <v>-117</v>
      </c>
      <c r="J50" s="7" t="s">
        <v>2802</v>
      </c>
      <c r="K50" t="s">
        <v>53</v>
      </c>
      <c r="L50" t="s">
        <v>24</v>
      </c>
      <c r="M50" t="s">
        <v>25</v>
      </c>
      <c r="N50" t="s">
        <v>136</v>
      </c>
      <c r="O50" t="s">
        <v>137</v>
      </c>
      <c r="P50" t="s">
        <v>74</v>
      </c>
      <c r="Q50" t="s">
        <v>80</v>
      </c>
      <c r="R50" t="s">
        <v>358</v>
      </c>
      <c r="S50" t="s">
        <v>31</v>
      </c>
      <c r="T50">
        <v>6</v>
      </c>
      <c r="U50">
        <v>1001.73</v>
      </c>
      <c r="V50">
        <v>0</v>
      </c>
      <c r="W50">
        <v>0</v>
      </c>
      <c r="X50">
        <v>6010.38</v>
      </c>
      <c r="Y50">
        <f t="shared" si="0"/>
        <v>6010.38</v>
      </c>
      <c r="Z50">
        <v>3762.85</v>
      </c>
      <c r="AA50">
        <v>2247.5300000000002</v>
      </c>
      <c r="AB50">
        <f t="shared" si="5"/>
        <v>2247.5300000000002</v>
      </c>
      <c r="AC50" s="8">
        <f t="shared" si="6"/>
        <v>0.37394141468592673</v>
      </c>
      <c r="AD50" t="s">
        <v>155</v>
      </c>
      <c r="AE50" t="s">
        <v>103</v>
      </c>
      <c r="AF50" t="str">
        <f t="shared" si="7"/>
        <v>Perfect Match</v>
      </c>
    </row>
    <row r="51" spans="1:32">
      <c r="A51" t="str">
        <f>IF(OR(I51&lt;0, ISTEXT(W51), ISTEXT(Y51)), "Invalid", IF(OR(B51="Conflicting Duplicate", M51="Unknown", S51="Unknown"), "Warning", "Valid"))</f>
        <v>Valid</v>
      </c>
      <c r="B51" t="str">
        <f t="shared" si="1"/>
        <v>-</v>
      </c>
      <c r="C51" t="s">
        <v>359</v>
      </c>
      <c r="D51" s="2">
        <v>45591</v>
      </c>
      <c r="E51" t="str">
        <f t="shared" si="2"/>
        <v>October</v>
      </c>
      <c r="F51">
        <f t="shared" si="3"/>
        <v>2024</v>
      </c>
      <c r="G51" s="2">
        <v>45594</v>
      </c>
      <c r="H51" t="s">
        <v>360</v>
      </c>
      <c r="I51">
        <f t="shared" si="4"/>
        <v>3</v>
      </c>
      <c r="J51" t="s">
        <v>2795</v>
      </c>
      <c r="K51" t="s">
        <v>89</v>
      </c>
      <c r="L51" t="s">
        <v>95</v>
      </c>
      <c r="M51" t="s">
        <v>63</v>
      </c>
      <c r="N51" t="s">
        <v>64</v>
      </c>
      <c r="O51" t="s">
        <v>65</v>
      </c>
      <c r="P51" t="s">
        <v>41</v>
      </c>
      <c r="Q51" t="s">
        <v>42</v>
      </c>
      <c r="R51" t="s">
        <v>361</v>
      </c>
      <c r="S51" t="s">
        <v>31</v>
      </c>
      <c r="T51">
        <v>9</v>
      </c>
      <c r="U51">
        <v>131.74</v>
      </c>
      <c r="V51">
        <v>0.2</v>
      </c>
      <c r="W51">
        <v>0.2</v>
      </c>
      <c r="X51">
        <v>948.53</v>
      </c>
      <c r="Y51">
        <f t="shared" si="0"/>
        <v>948.53</v>
      </c>
      <c r="Z51">
        <v>674.62</v>
      </c>
      <c r="AA51">
        <v>273.91000000000003</v>
      </c>
      <c r="AB51">
        <f t="shared" si="5"/>
        <v>273.90999999999997</v>
      </c>
      <c r="AC51" s="8">
        <f t="shared" si="6"/>
        <v>0.28877315424920663</v>
      </c>
      <c r="AD51" t="s">
        <v>32</v>
      </c>
      <c r="AE51" t="s">
        <v>33</v>
      </c>
      <c r="AF51" t="str">
        <f t="shared" si="7"/>
        <v>Perfect Match</v>
      </c>
    </row>
    <row r="52" spans="1:32">
      <c r="A52" t="str">
        <f>IF(OR(I52&lt;0, ISTEXT(W52), ISTEXT(Y52)), "Invalid", IF(OR(B52="Conflicting Duplicate", M52="Unknown", S52="Unknown"), "Warning", "Valid"))</f>
        <v>Valid</v>
      </c>
      <c r="B52" t="str">
        <f t="shared" si="1"/>
        <v>-</v>
      </c>
      <c r="C52" t="s">
        <v>362</v>
      </c>
      <c r="D52" s="2">
        <v>45566</v>
      </c>
      <c r="E52" t="str">
        <f t="shared" si="2"/>
        <v>October</v>
      </c>
      <c r="F52">
        <f t="shared" si="3"/>
        <v>2024</v>
      </c>
      <c r="G52" s="2">
        <v>45568</v>
      </c>
      <c r="H52" t="s">
        <v>363</v>
      </c>
      <c r="I52">
        <f t="shared" si="4"/>
        <v>2</v>
      </c>
      <c r="J52" t="s">
        <v>2795</v>
      </c>
      <c r="K52" t="s">
        <v>141</v>
      </c>
      <c r="L52" t="s">
        <v>90</v>
      </c>
      <c r="M52" t="s">
        <v>54</v>
      </c>
      <c r="N52" t="s">
        <v>247</v>
      </c>
      <c r="O52" t="s">
        <v>248</v>
      </c>
      <c r="P52" t="s">
        <v>74</v>
      </c>
      <c r="Q52" t="s">
        <v>171</v>
      </c>
      <c r="R52" t="s">
        <v>364</v>
      </c>
      <c r="S52" t="s">
        <v>31</v>
      </c>
      <c r="T52">
        <v>6</v>
      </c>
      <c r="U52">
        <v>570.28</v>
      </c>
      <c r="V52">
        <v>0.2</v>
      </c>
      <c r="W52">
        <v>0.2</v>
      </c>
      <c r="X52">
        <v>2737.34</v>
      </c>
      <c r="Y52">
        <f t="shared" si="0"/>
        <v>2737.34</v>
      </c>
      <c r="Z52">
        <v>2085.44</v>
      </c>
      <c r="AA52">
        <v>651.9</v>
      </c>
      <c r="AB52">
        <f t="shared" si="5"/>
        <v>651.90000000000009</v>
      </c>
      <c r="AC52" s="8">
        <f t="shared" si="6"/>
        <v>0.23815090562370772</v>
      </c>
      <c r="AD52" t="s">
        <v>32</v>
      </c>
      <c r="AE52" t="s">
        <v>33</v>
      </c>
      <c r="AF52" t="str">
        <f t="shared" si="7"/>
        <v>Perfect Match</v>
      </c>
    </row>
    <row r="53" spans="1:32">
      <c r="A53" t="str">
        <f>IF(OR(I53&lt;0, ISTEXT(W53), ISTEXT(Y53)), "Invalid", IF(OR(B53="Conflicting Duplicate", M53="Unknown", S53="Unknown"), "Warning", "Valid"))</f>
        <v>Valid</v>
      </c>
      <c r="B53" t="str">
        <f t="shared" si="1"/>
        <v>-</v>
      </c>
      <c r="C53" t="s">
        <v>365</v>
      </c>
      <c r="D53" s="2">
        <v>45503</v>
      </c>
      <c r="E53" t="str">
        <f t="shared" si="2"/>
        <v>July</v>
      </c>
      <c r="F53">
        <f t="shared" si="3"/>
        <v>2024</v>
      </c>
      <c r="G53" s="2">
        <v>45509</v>
      </c>
      <c r="H53" t="s">
        <v>366</v>
      </c>
      <c r="I53">
        <f t="shared" si="4"/>
        <v>6</v>
      </c>
      <c r="J53" t="s">
        <v>2795</v>
      </c>
      <c r="K53" t="s">
        <v>264</v>
      </c>
      <c r="L53" t="s">
        <v>90</v>
      </c>
      <c r="M53" t="s">
        <v>25</v>
      </c>
      <c r="N53" t="s">
        <v>350</v>
      </c>
      <c r="O53" t="s">
        <v>351</v>
      </c>
      <c r="P53" t="s">
        <v>28</v>
      </c>
      <c r="Q53" t="s">
        <v>153</v>
      </c>
      <c r="R53" t="s">
        <v>367</v>
      </c>
      <c r="S53" t="s">
        <v>59</v>
      </c>
      <c r="T53">
        <v>1</v>
      </c>
      <c r="U53">
        <v>608.64</v>
      </c>
      <c r="V53">
        <v>0</v>
      </c>
      <c r="W53">
        <v>0</v>
      </c>
      <c r="X53">
        <v>608.64</v>
      </c>
      <c r="Y53">
        <f t="shared" si="0"/>
        <v>608.64</v>
      </c>
      <c r="Z53">
        <v>343.99</v>
      </c>
      <c r="AA53">
        <v>264.64999999999998</v>
      </c>
      <c r="AB53">
        <f t="shared" si="5"/>
        <v>264.64999999999998</v>
      </c>
      <c r="AC53" s="8">
        <f t="shared" si="6"/>
        <v>0.43482189800210302</v>
      </c>
      <c r="AD53" t="s">
        <v>32</v>
      </c>
      <c r="AE53" t="s">
        <v>68</v>
      </c>
      <c r="AF53" t="str">
        <f t="shared" si="7"/>
        <v>Perfect Match</v>
      </c>
    </row>
    <row r="54" spans="1:32">
      <c r="A54" t="str">
        <f>IF(OR(I54&lt;0, ISTEXT(W54), ISTEXT(Y54)), "Invalid", IF(OR(B54="Conflicting Duplicate", M54="Unknown", S54="Unknown"), "Warning", "Valid"))</f>
        <v>Valid</v>
      </c>
      <c r="B54" t="str">
        <f t="shared" si="1"/>
        <v>-</v>
      </c>
      <c r="C54" t="s">
        <v>368</v>
      </c>
      <c r="D54" s="2">
        <v>45474</v>
      </c>
      <c r="E54" t="str">
        <f t="shared" si="2"/>
        <v>July</v>
      </c>
      <c r="F54">
        <f t="shared" si="3"/>
        <v>2024</v>
      </c>
      <c r="G54" s="2">
        <v>45474</v>
      </c>
      <c r="H54" t="s">
        <v>369</v>
      </c>
      <c r="I54">
        <f t="shared" si="4"/>
        <v>0</v>
      </c>
      <c r="J54" t="s">
        <v>2795</v>
      </c>
      <c r="K54" t="s">
        <v>62</v>
      </c>
      <c r="L54" t="s">
        <v>37</v>
      </c>
      <c r="M54" t="s">
        <v>25</v>
      </c>
      <c r="N54" t="s">
        <v>350</v>
      </c>
      <c r="O54" t="s">
        <v>351</v>
      </c>
      <c r="P54" t="s">
        <v>74</v>
      </c>
      <c r="Q54" t="s">
        <v>80</v>
      </c>
      <c r="R54" t="s">
        <v>370</v>
      </c>
      <c r="S54" t="s">
        <v>31</v>
      </c>
      <c r="T54">
        <v>3</v>
      </c>
      <c r="U54">
        <v>885.28</v>
      </c>
      <c r="V54">
        <v>0.1</v>
      </c>
      <c r="W54">
        <v>0.1</v>
      </c>
      <c r="X54">
        <v>2390.2600000000002</v>
      </c>
      <c r="Y54">
        <f t="shared" si="0"/>
        <v>2390.2600000000002</v>
      </c>
      <c r="Z54">
        <v>1495.94</v>
      </c>
      <c r="AA54">
        <v>894.32</v>
      </c>
      <c r="AB54">
        <f t="shared" si="5"/>
        <v>894.32000000000016</v>
      </c>
      <c r="AC54" s="8">
        <f t="shared" si="6"/>
        <v>0.37415176591667854</v>
      </c>
      <c r="AD54" t="s">
        <v>102</v>
      </c>
      <c r="AE54" t="s">
        <v>68</v>
      </c>
      <c r="AF54" t="str">
        <f t="shared" si="7"/>
        <v>Perfect Match</v>
      </c>
    </row>
    <row r="55" spans="1:32">
      <c r="A55" t="str">
        <f>IF(OR(I55&lt;0, ISTEXT(W55), ISTEXT(Y55)), "Invalid", IF(OR(B55="Conflicting Duplicate", M55="Unknown", S55="Unknown"), "Warning", "Valid"))</f>
        <v>Valid</v>
      </c>
      <c r="B55" t="str">
        <f t="shared" si="1"/>
        <v>-</v>
      </c>
      <c r="C55" t="s">
        <v>371</v>
      </c>
      <c r="D55" s="2">
        <v>45330</v>
      </c>
      <c r="E55" t="str">
        <f t="shared" si="2"/>
        <v>February</v>
      </c>
      <c r="F55">
        <f t="shared" si="3"/>
        <v>2024</v>
      </c>
      <c r="G55" s="2">
        <v>45507</v>
      </c>
      <c r="H55" t="s">
        <v>372</v>
      </c>
      <c r="I55">
        <f t="shared" si="4"/>
        <v>177</v>
      </c>
      <c r="J55" t="s">
        <v>2795</v>
      </c>
      <c r="K55" t="s">
        <v>71</v>
      </c>
      <c r="L55" t="s">
        <v>24</v>
      </c>
      <c r="M55" t="s">
        <v>38</v>
      </c>
      <c r="N55" t="s">
        <v>166</v>
      </c>
      <c r="O55" t="s">
        <v>167</v>
      </c>
      <c r="P55" t="s">
        <v>28</v>
      </c>
      <c r="Q55" t="s">
        <v>153</v>
      </c>
      <c r="R55" t="s">
        <v>373</v>
      </c>
      <c r="S55" t="s">
        <v>59</v>
      </c>
      <c r="T55">
        <v>7</v>
      </c>
      <c r="U55">
        <v>3345.22</v>
      </c>
      <c r="V55">
        <v>0</v>
      </c>
      <c r="W55">
        <v>0</v>
      </c>
      <c r="X55">
        <v>23416.54</v>
      </c>
      <c r="Y55">
        <f t="shared" si="0"/>
        <v>23416.54</v>
      </c>
      <c r="Z55">
        <v>15490.89</v>
      </c>
      <c r="AA55">
        <v>7925.65</v>
      </c>
      <c r="AB55">
        <f t="shared" si="5"/>
        <v>7925.6500000000015</v>
      </c>
      <c r="AC55" s="8">
        <f t="shared" si="6"/>
        <v>0.3384637525441419</v>
      </c>
      <c r="AD55" t="s">
        <v>32</v>
      </c>
      <c r="AE55" t="s">
        <v>33</v>
      </c>
      <c r="AF55" t="str">
        <f t="shared" si="7"/>
        <v>Perfect Match</v>
      </c>
    </row>
    <row r="56" spans="1:32">
      <c r="A56" t="str">
        <f>IF(OR(I56&lt;0, ISTEXT(W56), ISTEXT(Y56)), "Invalid", IF(OR(B56="Conflicting Duplicate", M56="Unknown", S56="Unknown"), "Warning", "Valid"))</f>
        <v>Valid</v>
      </c>
      <c r="B56" t="str">
        <f t="shared" si="1"/>
        <v>-</v>
      </c>
      <c r="C56" t="s">
        <v>374</v>
      </c>
      <c r="D56" s="2">
        <v>45375</v>
      </c>
      <c r="E56" t="str">
        <f t="shared" si="2"/>
        <v>March</v>
      </c>
      <c r="F56">
        <f t="shared" si="3"/>
        <v>2024</v>
      </c>
      <c r="G56" s="2">
        <v>45378</v>
      </c>
      <c r="H56" t="s">
        <v>375</v>
      </c>
      <c r="I56">
        <f t="shared" si="4"/>
        <v>3</v>
      </c>
      <c r="J56" t="s">
        <v>2795</v>
      </c>
      <c r="K56" t="s">
        <v>141</v>
      </c>
      <c r="L56" t="s">
        <v>37</v>
      </c>
      <c r="M56" t="s">
        <v>63</v>
      </c>
      <c r="N56" t="s">
        <v>64</v>
      </c>
      <c r="O56" t="s">
        <v>65</v>
      </c>
      <c r="P56" t="s">
        <v>41</v>
      </c>
      <c r="Q56" t="s">
        <v>158</v>
      </c>
      <c r="R56" t="s">
        <v>376</v>
      </c>
      <c r="S56" t="s">
        <v>59</v>
      </c>
      <c r="T56">
        <v>2</v>
      </c>
      <c r="U56">
        <v>3284.75</v>
      </c>
      <c r="V56">
        <v>0.05</v>
      </c>
      <c r="W56">
        <v>0.05</v>
      </c>
      <c r="X56">
        <v>6241.02</v>
      </c>
      <c r="Y56">
        <f t="shared" si="0"/>
        <v>6241.03</v>
      </c>
      <c r="Z56">
        <v>5345.88</v>
      </c>
      <c r="AA56">
        <v>895.14</v>
      </c>
      <c r="AB56">
        <f t="shared" si="5"/>
        <v>895.14999999999964</v>
      </c>
      <c r="AC56" s="8">
        <f t="shared" si="6"/>
        <v>0.14342985052146837</v>
      </c>
      <c r="AD56" t="s">
        <v>32</v>
      </c>
      <c r="AE56" t="s">
        <v>33</v>
      </c>
      <c r="AF56" t="str">
        <f t="shared" si="7"/>
        <v>Mismatch Found</v>
      </c>
    </row>
    <row r="57" spans="1:32">
      <c r="A57" t="str">
        <f>IF(OR(I57&lt;0, ISTEXT(W57), ISTEXT(Y57)), "Invalid", IF(OR(B57="Conflicting Duplicate", M57="Unknown", S57="Unknown"), "Warning", "Valid"))</f>
        <v>Valid</v>
      </c>
      <c r="B57" t="str">
        <f t="shared" si="1"/>
        <v>-</v>
      </c>
      <c r="C57" t="s">
        <v>377</v>
      </c>
      <c r="D57" s="2">
        <v>45540</v>
      </c>
      <c r="E57" t="str">
        <f t="shared" si="2"/>
        <v>September</v>
      </c>
      <c r="F57">
        <f t="shared" si="3"/>
        <v>2024</v>
      </c>
      <c r="G57" s="2">
        <v>45540</v>
      </c>
      <c r="H57" t="s">
        <v>378</v>
      </c>
      <c r="I57">
        <f t="shared" si="4"/>
        <v>0</v>
      </c>
      <c r="J57" t="s">
        <v>2795</v>
      </c>
      <c r="K57" t="s">
        <v>264</v>
      </c>
      <c r="L57" t="s">
        <v>24</v>
      </c>
      <c r="M57" t="s">
        <v>54</v>
      </c>
      <c r="N57" t="s">
        <v>84</v>
      </c>
      <c r="O57" t="s">
        <v>85</v>
      </c>
      <c r="P57" t="s">
        <v>41</v>
      </c>
      <c r="Q57" t="s">
        <v>158</v>
      </c>
      <c r="R57" t="s">
        <v>379</v>
      </c>
      <c r="S57" t="s">
        <v>59</v>
      </c>
      <c r="T57">
        <v>7</v>
      </c>
      <c r="U57">
        <v>3761.09</v>
      </c>
      <c r="V57">
        <v>0.2</v>
      </c>
      <c r="W57">
        <v>0.2</v>
      </c>
      <c r="X57">
        <v>21062.1</v>
      </c>
      <c r="Y57">
        <f t="shared" si="0"/>
        <v>21062.1</v>
      </c>
      <c r="Z57">
        <v>12057.13</v>
      </c>
      <c r="AA57">
        <v>9004.9699999999993</v>
      </c>
      <c r="AB57">
        <f t="shared" si="5"/>
        <v>9004.9699999999993</v>
      </c>
      <c r="AC57" s="8">
        <f t="shared" si="6"/>
        <v>0.42754378718171504</v>
      </c>
      <c r="AD57" t="s">
        <v>111</v>
      </c>
      <c r="AE57" t="s">
        <v>68</v>
      </c>
      <c r="AF57" t="str">
        <f t="shared" si="7"/>
        <v>Perfect Match</v>
      </c>
    </row>
    <row r="58" spans="1:32">
      <c r="A58" s="6" t="str">
        <f>IF(OR(I58&lt;0, ISTEXT(W58), ISTEXT(Y58)), "Invalid", IF(OR(B58="Conflicting Duplicate", M58="Unknown", S58="Unknown"), "Warning", "Valid"))</f>
        <v>Invalid</v>
      </c>
      <c r="B58" t="str">
        <f t="shared" si="1"/>
        <v>-</v>
      </c>
      <c r="C58" t="s">
        <v>389</v>
      </c>
      <c r="D58" s="2">
        <v>45298</v>
      </c>
      <c r="E58" t="str">
        <f t="shared" si="2"/>
        <v>January</v>
      </c>
      <c r="F58">
        <f t="shared" si="3"/>
        <v>2024</v>
      </c>
      <c r="G58" s="2">
        <v>45304</v>
      </c>
      <c r="H58" t="s">
        <v>390</v>
      </c>
      <c r="I58">
        <f t="shared" si="4"/>
        <v>6</v>
      </c>
      <c r="J58" t="s">
        <v>2795</v>
      </c>
      <c r="K58" t="s">
        <v>141</v>
      </c>
      <c r="L58" t="s">
        <v>90</v>
      </c>
      <c r="M58" t="s">
        <v>25</v>
      </c>
      <c r="N58" t="s">
        <v>136</v>
      </c>
      <c r="O58" t="s">
        <v>137</v>
      </c>
      <c r="P58" t="s">
        <v>28</v>
      </c>
      <c r="Q58" t="s">
        <v>153</v>
      </c>
      <c r="R58" t="s">
        <v>391</v>
      </c>
      <c r="S58" t="s">
        <v>59</v>
      </c>
      <c r="T58">
        <v>7</v>
      </c>
      <c r="U58">
        <v>2788.97</v>
      </c>
      <c r="V58">
        <v>-0.09</v>
      </c>
      <c r="W58" s="4" t="s">
        <v>2794</v>
      </c>
      <c r="X58">
        <v>19522.79</v>
      </c>
      <c r="Y58" s="4" t="str">
        <f t="shared" si="0"/>
        <v>Cannot Calculate</v>
      </c>
      <c r="Z58">
        <v>12455.78</v>
      </c>
      <c r="AA58">
        <v>7067.01</v>
      </c>
      <c r="AB58" s="4" t="str">
        <f t="shared" si="5"/>
        <v>Cannot Calculate</v>
      </c>
      <c r="AC58" s="9">
        <f t="shared" si="6"/>
        <v>0</v>
      </c>
      <c r="AD58" t="s">
        <v>32</v>
      </c>
      <c r="AE58" t="s">
        <v>33</v>
      </c>
      <c r="AF58" t="str">
        <f t="shared" si="7"/>
        <v>Calculation Blocked</v>
      </c>
    </row>
    <row r="59" spans="1:32">
      <c r="A59" t="str">
        <f>IF(OR(I59&lt;0, ISTEXT(W59), ISTEXT(Y59)), "Invalid", IF(OR(B59="Conflicting Duplicate", M59="Unknown", S59="Unknown"), "Warning", "Valid"))</f>
        <v>Valid</v>
      </c>
      <c r="B59" t="str">
        <f t="shared" si="1"/>
        <v>-</v>
      </c>
      <c r="C59" t="s">
        <v>392</v>
      </c>
      <c r="D59" s="2">
        <v>45541</v>
      </c>
      <c r="E59" t="str">
        <f t="shared" si="2"/>
        <v>September</v>
      </c>
      <c r="F59">
        <f t="shared" si="3"/>
        <v>2024</v>
      </c>
      <c r="G59" s="2">
        <v>45544</v>
      </c>
      <c r="H59" t="s">
        <v>393</v>
      </c>
      <c r="I59">
        <f t="shared" si="4"/>
        <v>3</v>
      </c>
      <c r="J59" t="s">
        <v>2795</v>
      </c>
      <c r="K59" t="s">
        <v>162</v>
      </c>
      <c r="L59" t="s">
        <v>24</v>
      </c>
      <c r="M59" t="s">
        <v>25</v>
      </c>
      <c r="N59" t="s">
        <v>236</v>
      </c>
      <c r="O59" t="s">
        <v>237</v>
      </c>
      <c r="P59" t="s">
        <v>74</v>
      </c>
      <c r="Q59" t="s">
        <v>171</v>
      </c>
      <c r="R59" t="s">
        <v>394</v>
      </c>
      <c r="S59" t="s">
        <v>31</v>
      </c>
      <c r="T59">
        <v>7</v>
      </c>
      <c r="U59">
        <v>3781.53</v>
      </c>
      <c r="V59">
        <v>0</v>
      </c>
      <c r="W59">
        <v>0</v>
      </c>
      <c r="X59">
        <v>26470.71</v>
      </c>
      <c r="Y59">
        <f t="shared" si="0"/>
        <v>26470.71</v>
      </c>
      <c r="Z59">
        <v>21367.599999999999</v>
      </c>
      <c r="AA59">
        <v>5103.1099999999997</v>
      </c>
      <c r="AB59">
        <f t="shared" si="5"/>
        <v>5103.1100000000006</v>
      </c>
      <c r="AC59" s="8">
        <f t="shared" si="6"/>
        <v>0.19278326875251933</v>
      </c>
      <c r="AD59" t="s">
        <v>111</v>
      </c>
      <c r="AE59" t="s">
        <v>68</v>
      </c>
      <c r="AF59" t="str">
        <f t="shared" si="7"/>
        <v>Perfect Match</v>
      </c>
    </row>
    <row r="60" spans="1:32">
      <c r="A60" t="str">
        <f>IF(OR(I60&lt;0, ISTEXT(W60), ISTEXT(Y60)), "Invalid", IF(OR(B60="Conflicting Duplicate", M60="Unknown", S60="Unknown"), "Warning", "Valid"))</f>
        <v>Valid</v>
      </c>
      <c r="B60" t="str">
        <f t="shared" si="1"/>
        <v>-</v>
      </c>
      <c r="C60" t="s">
        <v>398</v>
      </c>
      <c r="D60" s="2">
        <v>45448</v>
      </c>
      <c r="E60" t="str">
        <f t="shared" si="2"/>
        <v>June</v>
      </c>
      <c r="F60">
        <f t="shared" si="3"/>
        <v>2024</v>
      </c>
      <c r="G60" s="2">
        <v>45479</v>
      </c>
      <c r="H60" t="s">
        <v>399</v>
      </c>
      <c r="I60">
        <f t="shared" si="4"/>
        <v>31</v>
      </c>
      <c r="J60" t="s">
        <v>2795</v>
      </c>
      <c r="K60" t="s">
        <v>118</v>
      </c>
      <c r="L60" t="s">
        <v>95</v>
      </c>
      <c r="M60" t="s">
        <v>38</v>
      </c>
      <c r="N60" t="s">
        <v>39</v>
      </c>
      <c r="O60" t="s">
        <v>40</v>
      </c>
      <c r="P60" t="s">
        <v>74</v>
      </c>
      <c r="Q60" t="s">
        <v>80</v>
      </c>
      <c r="R60" t="s">
        <v>400</v>
      </c>
      <c r="S60" t="s">
        <v>31</v>
      </c>
      <c r="T60">
        <v>2</v>
      </c>
      <c r="U60">
        <v>2259.2399999999998</v>
      </c>
      <c r="V60">
        <v>0.15</v>
      </c>
      <c r="W60">
        <v>0.15</v>
      </c>
      <c r="X60">
        <v>3840.71</v>
      </c>
      <c r="Y60">
        <f t="shared" si="0"/>
        <v>3840.71</v>
      </c>
      <c r="Z60">
        <v>2516.29</v>
      </c>
      <c r="AA60">
        <v>1324.42</v>
      </c>
      <c r="AB60">
        <f t="shared" si="5"/>
        <v>1324.42</v>
      </c>
      <c r="AC60" s="8">
        <f t="shared" si="6"/>
        <v>0.34483728268991931</v>
      </c>
      <c r="AD60" t="s">
        <v>32</v>
      </c>
      <c r="AE60" t="s">
        <v>33</v>
      </c>
      <c r="AF60" t="str">
        <f t="shared" si="7"/>
        <v>Perfect Match</v>
      </c>
    </row>
    <row r="61" spans="1:32">
      <c r="A61" s="6" t="str">
        <f>IF(OR(I61&lt;0, ISTEXT(W61), ISTEXT(Y61)), "Invalid", IF(OR(B61="Conflicting Duplicate", M61="Unknown", S61="Unknown"), "Warning", "Valid"))</f>
        <v>Warning</v>
      </c>
      <c r="B61" t="str">
        <f t="shared" si="1"/>
        <v>-</v>
      </c>
      <c r="C61" t="s">
        <v>404</v>
      </c>
      <c r="D61" s="2">
        <v>45317</v>
      </c>
      <c r="E61" t="str">
        <f t="shared" si="2"/>
        <v>January</v>
      </c>
      <c r="F61">
        <f t="shared" si="3"/>
        <v>2024</v>
      </c>
      <c r="G61" s="2">
        <v>45323</v>
      </c>
      <c r="H61" t="s">
        <v>405</v>
      </c>
      <c r="I61">
        <f t="shared" si="4"/>
        <v>6</v>
      </c>
      <c r="J61" t="s">
        <v>2795</v>
      </c>
      <c r="K61" t="s">
        <v>141</v>
      </c>
      <c r="L61" t="s">
        <v>95</v>
      </c>
      <c r="M61" t="s">
        <v>54</v>
      </c>
      <c r="N61" t="s">
        <v>185</v>
      </c>
      <c r="O61" t="s">
        <v>186</v>
      </c>
      <c r="P61" t="s">
        <v>74</v>
      </c>
      <c r="Q61" t="s">
        <v>80</v>
      </c>
      <c r="R61" t="s">
        <v>406</v>
      </c>
      <c r="S61" s="4" t="s">
        <v>2790</v>
      </c>
      <c r="T61">
        <v>8</v>
      </c>
      <c r="U61">
        <v>2108.9299999999998</v>
      </c>
      <c r="V61">
        <v>0.1</v>
      </c>
      <c r="W61">
        <v>0.1</v>
      </c>
      <c r="X61">
        <v>15184.3</v>
      </c>
      <c r="Y61">
        <f t="shared" si="0"/>
        <v>15184.3</v>
      </c>
      <c r="Z61">
        <v>11270.74</v>
      </c>
      <c r="AA61">
        <v>3913.56</v>
      </c>
      <c r="AB61">
        <f t="shared" si="5"/>
        <v>3913.5599999999995</v>
      </c>
      <c r="AC61" s="8">
        <f t="shared" si="6"/>
        <v>0.25773726809928676</v>
      </c>
      <c r="AD61" t="s">
        <v>32</v>
      </c>
      <c r="AE61" t="s">
        <v>33</v>
      </c>
      <c r="AF61" t="str">
        <f t="shared" si="7"/>
        <v>Perfect Match</v>
      </c>
    </row>
    <row r="62" spans="1:32">
      <c r="A62" t="str">
        <f>IF(OR(I62&lt;0, ISTEXT(W62), ISTEXT(Y62)), "Invalid", IF(OR(B62="Conflicting Duplicate", M62="Unknown", S62="Unknown"), "Warning", "Valid"))</f>
        <v>Valid</v>
      </c>
      <c r="B62" t="str">
        <f t="shared" si="1"/>
        <v>-</v>
      </c>
      <c r="C62" t="s">
        <v>413</v>
      </c>
      <c r="D62" s="2">
        <v>45465</v>
      </c>
      <c r="E62" t="str">
        <f t="shared" si="2"/>
        <v>June</v>
      </c>
      <c r="F62">
        <f t="shared" si="3"/>
        <v>2024</v>
      </c>
      <c r="G62" s="2">
        <v>45469</v>
      </c>
      <c r="H62" t="s">
        <v>414</v>
      </c>
      <c r="I62">
        <f t="shared" si="4"/>
        <v>4</v>
      </c>
      <c r="J62" t="s">
        <v>2795</v>
      </c>
      <c r="K62" t="s">
        <v>141</v>
      </c>
      <c r="L62" t="s">
        <v>95</v>
      </c>
      <c r="M62" t="s">
        <v>38</v>
      </c>
      <c r="N62" t="s">
        <v>145</v>
      </c>
      <c r="O62" t="s">
        <v>146</v>
      </c>
      <c r="P62" t="s">
        <v>41</v>
      </c>
      <c r="Q62" t="s">
        <v>57</v>
      </c>
      <c r="R62" t="s">
        <v>415</v>
      </c>
      <c r="S62" t="s">
        <v>50</v>
      </c>
      <c r="T62">
        <v>5</v>
      </c>
      <c r="U62">
        <v>4396.5200000000004</v>
      </c>
      <c r="V62">
        <v>0.25</v>
      </c>
      <c r="W62">
        <v>0.25</v>
      </c>
      <c r="X62">
        <v>16486.95</v>
      </c>
      <c r="Y62">
        <f t="shared" si="0"/>
        <v>16486.95</v>
      </c>
      <c r="Z62">
        <v>12054.14</v>
      </c>
      <c r="AA62">
        <v>4432.8100000000004</v>
      </c>
      <c r="AB62">
        <f t="shared" si="5"/>
        <v>4432.8100000000013</v>
      </c>
      <c r="AC62" s="8">
        <f t="shared" si="6"/>
        <v>0.26886780150361356</v>
      </c>
      <c r="AD62" t="s">
        <v>32</v>
      </c>
      <c r="AE62" t="s">
        <v>33</v>
      </c>
      <c r="AF62" t="str">
        <f t="shared" si="7"/>
        <v>Perfect Match</v>
      </c>
    </row>
    <row r="63" spans="1:32">
      <c r="A63" t="str">
        <f>IF(OR(I63&lt;0, ISTEXT(W63), ISTEXT(Y63)), "Invalid", IF(OR(B63="Conflicting Duplicate", M63="Unknown", S63="Unknown"), "Warning", "Valid"))</f>
        <v>Valid</v>
      </c>
      <c r="B63" t="str">
        <f t="shared" si="1"/>
        <v>-</v>
      </c>
      <c r="C63" t="s">
        <v>425</v>
      </c>
      <c r="D63" s="2">
        <v>45467</v>
      </c>
      <c r="E63" t="str">
        <f t="shared" si="2"/>
        <v>June</v>
      </c>
      <c r="F63">
        <f t="shared" si="3"/>
        <v>2024</v>
      </c>
      <c r="G63" s="2">
        <v>45472</v>
      </c>
      <c r="H63" t="s">
        <v>426</v>
      </c>
      <c r="I63">
        <f t="shared" si="4"/>
        <v>5</v>
      </c>
      <c r="J63" t="s">
        <v>2795</v>
      </c>
      <c r="K63" t="s">
        <v>36</v>
      </c>
      <c r="L63" t="s">
        <v>95</v>
      </c>
      <c r="M63" t="s">
        <v>38</v>
      </c>
      <c r="N63" t="s">
        <v>99</v>
      </c>
      <c r="O63" t="s">
        <v>100</v>
      </c>
      <c r="P63" t="s">
        <v>41</v>
      </c>
      <c r="Q63" t="s">
        <v>42</v>
      </c>
      <c r="R63" t="s">
        <v>427</v>
      </c>
      <c r="S63" t="s">
        <v>31</v>
      </c>
      <c r="T63">
        <v>2</v>
      </c>
      <c r="U63">
        <v>685</v>
      </c>
      <c r="V63">
        <v>0.1</v>
      </c>
      <c r="W63">
        <v>0.1</v>
      </c>
      <c r="X63">
        <v>1233</v>
      </c>
      <c r="Y63">
        <f t="shared" si="0"/>
        <v>1233</v>
      </c>
      <c r="Z63">
        <v>1006.9</v>
      </c>
      <c r="AA63">
        <v>226.1</v>
      </c>
      <c r="AB63">
        <f t="shared" si="5"/>
        <v>226.10000000000002</v>
      </c>
      <c r="AC63" s="8">
        <f t="shared" si="6"/>
        <v>0.18337388483373887</v>
      </c>
      <c r="AD63" t="s">
        <v>32</v>
      </c>
      <c r="AE63" t="s">
        <v>33</v>
      </c>
      <c r="AF63" t="str">
        <f t="shared" si="7"/>
        <v>Perfect Match</v>
      </c>
    </row>
    <row r="64" spans="1:32">
      <c r="A64" s="6" t="str">
        <f>IF(OR(I64&lt;0, ISTEXT(W64), ISTEXT(Y64)), "Invalid", IF(OR(B64="Conflicting Duplicate", M64="Unknown", S64="Unknown"), "Warning", "Valid"))</f>
        <v>Invalid</v>
      </c>
      <c r="B64" t="str">
        <f t="shared" si="1"/>
        <v>-</v>
      </c>
      <c r="C64" t="s">
        <v>428</v>
      </c>
      <c r="D64" s="2">
        <v>45342</v>
      </c>
      <c r="E64" t="str">
        <f t="shared" si="2"/>
        <v>February</v>
      </c>
      <c r="F64">
        <f t="shared" si="3"/>
        <v>2024</v>
      </c>
      <c r="G64" s="2">
        <v>45350</v>
      </c>
      <c r="H64" t="s">
        <v>429</v>
      </c>
      <c r="I64">
        <f t="shared" si="4"/>
        <v>8</v>
      </c>
      <c r="J64" t="s">
        <v>2795</v>
      </c>
      <c r="K64" t="s">
        <v>53</v>
      </c>
      <c r="L64" t="s">
        <v>95</v>
      </c>
      <c r="M64" t="s">
        <v>38</v>
      </c>
      <c r="N64" t="s">
        <v>99</v>
      </c>
      <c r="O64" t="s">
        <v>100</v>
      </c>
      <c r="P64" t="s">
        <v>28</v>
      </c>
      <c r="Q64" t="s">
        <v>29</v>
      </c>
      <c r="R64" t="s">
        <v>430</v>
      </c>
      <c r="S64" t="s">
        <v>59</v>
      </c>
      <c r="T64">
        <v>2</v>
      </c>
      <c r="U64">
        <v>4004.04</v>
      </c>
      <c r="V64" s="4" t="str">
        <f>IF(ROUND(T46*U46, 2)=ROUND(X46, 2), 0, "Flag - Missing Value")</f>
        <v>Flag - Missing Value</v>
      </c>
      <c r="W64" s="4" t="s">
        <v>2794</v>
      </c>
      <c r="X64">
        <v>7207.27</v>
      </c>
      <c r="Y64" s="4" t="str">
        <f t="shared" si="0"/>
        <v>Cannot Calculate</v>
      </c>
      <c r="Z64">
        <v>5709.39</v>
      </c>
      <c r="AA64">
        <v>1497.88</v>
      </c>
      <c r="AB64" s="4" t="str">
        <f t="shared" si="5"/>
        <v>Cannot Calculate</v>
      </c>
      <c r="AC64" s="9">
        <f t="shared" si="6"/>
        <v>0</v>
      </c>
      <c r="AD64" t="s">
        <v>32</v>
      </c>
      <c r="AE64" t="s">
        <v>68</v>
      </c>
      <c r="AF64" t="str">
        <f t="shared" si="7"/>
        <v>Calculation Blocked</v>
      </c>
    </row>
    <row r="65" spans="1:32">
      <c r="A65" t="str">
        <f>IF(OR(I65&lt;0, ISTEXT(W65), ISTEXT(Y65)), "Invalid", IF(OR(B65="Conflicting Duplicate", M65="Unknown", S65="Unknown"), "Warning", "Valid"))</f>
        <v>Valid</v>
      </c>
      <c r="B65" t="str">
        <f t="shared" si="1"/>
        <v>-</v>
      </c>
      <c r="C65" t="s">
        <v>431</v>
      </c>
      <c r="D65" s="2">
        <v>45594</v>
      </c>
      <c r="E65" t="str">
        <f t="shared" si="2"/>
        <v>October</v>
      </c>
      <c r="F65">
        <f t="shared" si="3"/>
        <v>2024</v>
      </c>
      <c r="G65" s="2">
        <v>45600</v>
      </c>
      <c r="H65" t="s">
        <v>432</v>
      </c>
      <c r="I65">
        <f t="shared" si="4"/>
        <v>6</v>
      </c>
      <c r="J65" t="s">
        <v>2795</v>
      </c>
      <c r="K65" t="s">
        <v>141</v>
      </c>
      <c r="L65" t="s">
        <v>95</v>
      </c>
      <c r="M65" t="s">
        <v>38</v>
      </c>
      <c r="N65" t="s">
        <v>99</v>
      </c>
      <c r="O65" t="s">
        <v>100</v>
      </c>
      <c r="P65" t="s">
        <v>41</v>
      </c>
      <c r="Q65" t="s">
        <v>57</v>
      </c>
      <c r="R65" t="s">
        <v>433</v>
      </c>
      <c r="S65" t="s">
        <v>50</v>
      </c>
      <c r="T65">
        <v>3</v>
      </c>
      <c r="U65">
        <v>4302.8900000000003</v>
      </c>
      <c r="V65">
        <v>0.05</v>
      </c>
      <c r="W65">
        <v>0.05</v>
      </c>
      <c r="X65">
        <v>12263.24</v>
      </c>
      <c r="Y65">
        <f t="shared" si="0"/>
        <v>12263.24</v>
      </c>
      <c r="Z65">
        <v>8925.57</v>
      </c>
      <c r="AA65">
        <v>3337.67</v>
      </c>
      <c r="AB65">
        <f t="shared" si="5"/>
        <v>3337.67</v>
      </c>
      <c r="AC65" s="8">
        <f t="shared" si="6"/>
        <v>0.2721686927761342</v>
      </c>
      <c r="AD65" t="s">
        <v>32</v>
      </c>
      <c r="AE65" t="s">
        <v>33</v>
      </c>
      <c r="AF65" t="str">
        <f t="shared" si="7"/>
        <v>Perfect Match</v>
      </c>
    </row>
    <row r="66" spans="1:32">
      <c r="A66" t="str">
        <f>IF(OR(I66&lt;0, ISTEXT(W66), ISTEXT(Y66)), "Invalid", IF(OR(B66="Conflicting Duplicate", M66="Unknown", S66="Unknown"), "Warning", "Valid"))</f>
        <v>Valid</v>
      </c>
      <c r="B66" t="str">
        <f t="shared" si="1"/>
        <v>-</v>
      </c>
      <c r="C66" t="s">
        <v>434</v>
      </c>
      <c r="D66" s="2">
        <v>45519</v>
      </c>
      <c r="E66" t="str">
        <f t="shared" si="2"/>
        <v>August</v>
      </c>
      <c r="F66">
        <f t="shared" si="3"/>
        <v>2024</v>
      </c>
      <c r="G66" s="2">
        <v>45527</v>
      </c>
      <c r="H66" t="s">
        <v>435</v>
      </c>
      <c r="I66">
        <f t="shared" si="4"/>
        <v>8</v>
      </c>
      <c r="J66" t="s">
        <v>2795</v>
      </c>
      <c r="K66" t="s">
        <v>89</v>
      </c>
      <c r="L66" t="s">
        <v>37</v>
      </c>
      <c r="M66" t="s">
        <v>38</v>
      </c>
      <c r="N66" t="s">
        <v>39</v>
      </c>
      <c r="O66" t="s">
        <v>40</v>
      </c>
      <c r="P66" t="s">
        <v>41</v>
      </c>
      <c r="Q66" t="s">
        <v>158</v>
      </c>
      <c r="R66" t="s">
        <v>436</v>
      </c>
      <c r="S66" t="s">
        <v>44</v>
      </c>
      <c r="T66">
        <v>2</v>
      </c>
      <c r="U66">
        <v>537.54</v>
      </c>
      <c r="V66">
        <v>0.25</v>
      </c>
      <c r="W66">
        <v>0.25</v>
      </c>
      <c r="X66">
        <v>806.31</v>
      </c>
      <c r="Y66">
        <f t="shared" ref="Y66:Y129" si="8">IF(ISTEXT(W66), "Cannot Calculate", ROUND(T66 * U66 * (1 - W66), 2))</f>
        <v>806.31</v>
      </c>
      <c r="Z66">
        <v>498.5</v>
      </c>
      <c r="AA66">
        <v>307.81</v>
      </c>
      <c r="AB66">
        <f t="shared" si="5"/>
        <v>307.80999999999995</v>
      </c>
      <c r="AC66" s="8">
        <f t="shared" si="6"/>
        <v>0.38175143555208291</v>
      </c>
      <c r="AD66" t="s">
        <v>32</v>
      </c>
      <c r="AE66" t="s">
        <v>33</v>
      </c>
      <c r="AF66" t="str">
        <f t="shared" si="7"/>
        <v>Perfect Match</v>
      </c>
    </row>
    <row r="67" spans="1:32">
      <c r="A67" t="str">
        <f>IF(OR(I67&lt;0, ISTEXT(W67), ISTEXT(Y67)), "Invalid", IF(OR(B67="Conflicting Duplicate", M67="Unknown", S67="Unknown"), "Warning", "Valid"))</f>
        <v>Valid</v>
      </c>
      <c r="B67" t="str">
        <f t="shared" ref="B67:B130" si="9">IF(COUNTIF(C:C, C67)&gt;1, "Conflicting Duplicate", "-")</f>
        <v>-</v>
      </c>
      <c r="C67" t="s">
        <v>440</v>
      </c>
      <c r="D67" s="2">
        <v>45583</v>
      </c>
      <c r="E67" t="str">
        <f t="shared" ref="E67:E130" si="10">TEXT(D67, "mmmm")</f>
        <v>October</v>
      </c>
      <c r="F67">
        <f t="shared" ref="F67:F130" si="11">YEAR(D67)</f>
        <v>2024</v>
      </c>
      <c r="G67" s="2">
        <v>45589</v>
      </c>
      <c r="H67" t="s">
        <v>441</v>
      </c>
      <c r="I67">
        <f t="shared" ref="I67:I130" si="12">G67-D67</f>
        <v>6</v>
      </c>
      <c r="J67" t="s">
        <v>2795</v>
      </c>
      <c r="K67" t="s">
        <v>71</v>
      </c>
      <c r="L67" t="s">
        <v>90</v>
      </c>
      <c r="M67" t="s">
        <v>54</v>
      </c>
      <c r="N67" t="s">
        <v>185</v>
      </c>
      <c r="O67" t="s">
        <v>186</v>
      </c>
      <c r="P67" t="s">
        <v>28</v>
      </c>
      <c r="Q67" t="s">
        <v>91</v>
      </c>
      <c r="R67" t="s">
        <v>442</v>
      </c>
      <c r="S67" t="s">
        <v>50</v>
      </c>
      <c r="T67">
        <v>2</v>
      </c>
      <c r="U67">
        <v>2250.4699999999998</v>
      </c>
      <c r="V67">
        <v>0</v>
      </c>
      <c r="W67">
        <v>0</v>
      </c>
      <c r="X67">
        <v>4500.9399999999996</v>
      </c>
      <c r="Y67">
        <f t="shared" si="8"/>
        <v>4500.9399999999996</v>
      </c>
      <c r="Z67">
        <v>2607.73</v>
      </c>
      <c r="AA67">
        <v>1893.21</v>
      </c>
      <c r="AB67">
        <f t="shared" ref="AB67:AB130" si="13">IF(ISTEXT(Y67), "Cannot Calculate", Y67 - Z67)</f>
        <v>1893.2099999999996</v>
      </c>
      <c r="AC67" s="8">
        <f t="shared" ref="AC67:AC130" si="14">IFERROR(AB67 / Y67, 0)</f>
        <v>0.42062546934640316</v>
      </c>
      <c r="AD67" t="s">
        <v>102</v>
      </c>
      <c r="AE67" t="s">
        <v>68</v>
      </c>
      <c r="AF67" t="str">
        <f t="shared" ref="AF67:AF130" si="15">IF(OR(ISTEXT(Z67), ISTEXT(AB67)), "Calculation Blocked", IF(OR(ROUND(X67, 2) &lt;&gt; ROUND(Y67, 2), ROUND(AA67, 2) &lt;&gt; ROUND(AB67, 2)), "Mismatch Found", "Perfect Match"))</f>
        <v>Perfect Match</v>
      </c>
    </row>
    <row r="68" spans="1:32">
      <c r="A68" s="6" t="str">
        <f>IF(OR(I68&lt;0, ISTEXT(W68), ISTEXT(Y68)), "Invalid", IF(OR(B68="Conflicting Duplicate", M68="Unknown", S68="Unknown"), "Warning", "Valid"))</f>
        <v>Warning</v>
      </c>
      <c r="B68" t="str">
        <f t="shared" si="9"/>
        <v>-</v>
      </c>
      <c r="C68" t="s">
        <v>446</v>
      </c>
      <c r="D68" s="2">
        <v>45301</v>
      </c>
      <c r="E68" t="str">
        <f t="shared" si="10"/>
        <v>January</v>
      </c>
      <c r="F68">
        <f t="shared" si="11"/>
        <v>2024</v>
      </c>
      <c r="G68" s="2">
        <v>45305</v>
      </c>
      <c r="H68" t="s">
        <v>447</v>
      </c>
      <c r="I68">
        <f t="shared" si="12"/>
        <v>4</v>
      </c>
      <c r="J68" t="s">
        <v>2795</v>
      </c>
      <c r="K68" t="s">
        <v>132</v>
      </c>
      <c r="L68" t="s">
        <v>24</v>
      </c>
      <c r="M68" s="4" t="s">
        <v>2790</v>
      </c>
      <c r="N68" t="s">
        <v>180</v>
      </c>
      <c r="O68" t="s">
        <v>181</v>
      </c>
      <c r="P68" t="s">
        <v>74</v>
      </c>
      <c r="Q68" t="s">
        <v>75</v>
      </c>
      <c r="R68" t="s">
        <v>448</v>
      </c>
      <c r="S68" t="s">
        <v>59</v>
      </c>
      <c r="T68">
        <v>3</v>
      </c>
      <c r="U68">
        <v>3829.48</v>
      </c>
      <c r="V68">
        <v>0.05</v>
      </c>
      <c r="W68">
        <v>0.05</v>
      </c>
      <c r="X68">
        <v>10914.02</v>
      </c>
      <c r="Y68">
        <f t="shared" si="8"/>
        <v>10914.02</v>
      </c>
      <c r="Z68">
        <v>6548.74</v>
      </c>
      <c r="AA68">
        <v>4365.28</v>
      </c>
      <c r="AB68">
        <f t="shared" si="13"/>
        <v>4365.2800000000007</v>
      </c>
      <c r="AC68" s="8">
        <f t="shared" si="14"/>
        <v>0.39996994691232018</v>
      </c>
      <c r="AD68" t="s">
        <v>32</v>
      </c>
      <c r="AE68" t="s">
        <v>33</v>
      </c>
      <c r="AF68" t="str">
        <f t="shared" si="15"/>
        <v>Perfect Match</v>
      </c>
    </row>
    <row r="69" spans="1:32">
      <c r="A69" t="str">
        <f>IF(OR(I69&lt;0, ISTEXT(W69), ISTEXT(Y69)), "Invalid", IF(OR(B69="Conflicting Duplicate", M69="Unknown", S69="Unknown"), "Warning", "Valid"))</f>
        <v>Valid</v>
      </c>
      <c r="B69" t="str">
        <f t="shared" si="9"/>
        <v>-</v>
      </c>
      <c r="C69" t="s">
        <v>449</v>
      </c>
      <c r="D69" s="2">
        <v>45628</v>
      </c>
      <c r="E69" t="str">
        <f t="shared" si="10"/>
        <v>December</v>
      </c>
      <c r="F69">
        <f t="shared" si="11"/>
        <v>2024</v>
      </c>
      <c r="G69" s="2">
        <v>45628</v>
      </c>
      <c r="H69" t="s">
        <v>360</v>
      </c>
      <c r="I69">
        <f t="shared" si="12"/>
        <v>0</v>
      </c>
      <c r="J69" t="s">
        <v>2795</v>
      </c>
      <c r="K69" t="s">
        <v>47</v>
      </c>
      <c r="L69" t="s">
        <v>95</v>
      </c>
      <c r="M69" t="s">
        <v>54</v>
      </c>
      <c r="N69" t="s">
        <v>247</v>
      </c>
      <c r="O69" t="s">
        <v>248</v>
      </c>
      <c r="P69" t="s">
        <v>41</v>
      </c>
      <c r="Q69" t="s">
        <v>42</v>
      </c>
      <c r="R69" t="s">
        <v>450</v>
      </c>
      <c r="S69" t="s">
        <v>59</v>
      </c>
      <c r="T69">
        <v>3</v>
      </c>
      <c r="U69">
        <v>1089.1500000000001</v>
      </c>
      <c r="V69">
        <v>0.25</v>
      </c>
      <c r="W69">
        <v>0.25</v>
      </c>
      <c r="X69">
        <v>2450.59</v>
      </c>
      <c r="Y69">
        <f t="shared" si="8"/>
        <v>2450.59</v>
      </c>
      <c r="Z69">
        <v>1639.89</v>
      </c>
      <c r="AA69">
        <v>810.7</v>
      </c>
      <c r="AB69">
        <f t="shared" si="13"/>
        <v>810.7</v>
      </c>
      <c r="AC69" s="8">
        <f t="shared" si="14"/>
        <v>0.33081829273766727</v>
      </c>
      <c r="AD69" t="s">
        <v>32</v>
      </c>
      <c r="AE69" t="s">
        <v>33</v>
      </c>
      <c r="AF69" t="str">
        <f t="shared" si="15"/>
        <v>Perfect Match</v>
      </c>
    </row>
    <row r="70" spans="1:32">
      <c r="A70" t="str">
        <f>IF(OR(I70&lt;0, ISTEXT(W70), ISTEXT(Y70)), "Invalid", IF(OR(B70="Conflicting Duplicate", M70="Unknown", S70="Unknown"), "Warning", "Valid"))</f>
        <v>Valid</v>
      </c>
      <c r="B70" t="str">
        <f t="shared" si="9"/>
        <v>-</v>
      </c>
      <c r="C70" t="s">
        <v>451</v>
      </c>
      <c r="D70" s="2">
        <v>45560</v>
      </c>
      <c r="E70" t="str">
        <f t="shared" si="10"/>
        <v>September</v>
      </c>
      <c r="F70">
        <f t="shared" si="11"/>
        <v>2024</v>
      </c>
      <c r="G70" s="2">
        <v>45565</v>
      </c>
      <c r="H70" t="s">
        <v>452</v>
      </c>
      <c r="I70">
        <f t="shared" si="12"/>
        <v>5</v>
      </c>
      <c r="J70" t="s">
        <v>2795</v>
      </c>
      <c r="K70" t="s">
        <v>79</v>
      </c>
      <c r="L70" t="s">
        <v>37</v>
      </c>
      <c r="M70" t="s">
        <v>25</v>
      </c>
      <c r="N70" t="s">
        <v>26</v>
      </c>
      <c r="O70" t="s">
        <v>27</v>
      </c>
      <c r="P70" t="s">
        <v>74</v>
      </c>
      <c r="Q70" t="s">
        <v>75</v>
      </c>
      <c r="R70" t="s">
        <v>453</v>
      </c>
      <c r="S70" t="s">
        <v>31</v>
      </c>
      <c r="T70">
        <v>1</v>
      </c>
      <c r="U70">
        <v>4388.3999999999996</v>
      </c>
      <c r="V70">
        <v>0.1</v>
      </c>
      <c r="W70">
        <v>0.1</v>
      </c>
      <c r="X70">
        <v>3949.56</v>
      </c>
      <c r="Y70">
        <f t="shared" si="8"/>
        <v>3949.56</v>
      </c>
      <c r="Z70">
        <v>3186.73</v>
      </c>
      <c r="AA70">
        <v>762.83</v>
      </c>
      <c r="AB70">
        <f t="shared" si="13"/>
        <v>762.82999999999993</v>
      </c>
      <c r="AC70" s="8">
        <f t="shared" si="14"/>
        <v>0.19314303365438173</v>
      </c>
      <c r="AD70" t="s">
        <v>111</v>
      </c>
      <c r="AE70" t="s">
        <v>68</v>
      </c>
      <c r="AF70" t="str">
        <f t="shared" si="15"/>
        <v>Perfect Match</v>
      </c>
    </row>
    <row r="71" spans="1:32">
      <c r="A71" t="str">
        <f>IF(OR(I71&lt;0, ISTEXT(W71), ISTEXT(Y71)), "Invalid", IF(OR(B71="Conflicting Duplicate", M71="Unknown", S71="Unknown"), "Warning", "Valid"))</f>
        <v>Valid</v>
      </c>
      <c r="B71" t="str">
        <f t="shared" si="9"/>
        <v>-</v>
      </c>
      <c r="C71" t="s">
        <v>454</v>
      </c>
      <c r="D71" s="2">
        <v>45653</v>
      </c>
      <c r="E71" t="str">
        <f t="shared" si="10"/>
        <v>December</v>
      </c>
      <c r="F71">
        <f t="shared" si="11"/>
        <v>2024</v>
      </c>
      <c r="G71" s="2">
        <v>45658</v>
      </c>
      <c r="H71" t="s">
        <v>455</v>
      </c>
      <c r="I71">
        <f t="shared" si="12"/>
        <v>5</v>
      </c>
      <c r="J71" t="s">
        <v>2795</v>
      </c>
      <c r="K71" t="s">
        <v>264</v>
      </c>
      <c r="L71" t="s">
        <v>90</v>
      </c>
      <c r="M71" t="s">
        <v>54</v>
      </c>
      <c r="N71" t="s">
        <v>247</v>
      </c>
      <c r="O71" t="s">
        <v>248</v>
      </c>
      <c r="P71" t="s">
        <v>28</v>
      </c>
      <c r="Q71" t="s">
        <v>153</v>
      </c>
      <c r="R71" t="s">
        <v>456</v>
      </c>
      <c r="S71" t="s">
        <v>44</v>
      </c>
      <c r="T71">
        <v>2</v>
      </c>
      <c r="U71">
        <v>446.34</v>
      </c>
      <c r="V71">
        <v>0.15</v>
      </c>
      <c r="W71">
        <v>0.15</v>
      </c>
      <c r="X71">
        <v>758.78</v>
      </c>
      <c r="Y71">
        <f t="shared" si="8"/>
        <v>758.78</v>
      </c>
      <c r="Z71">
        <v>490.74</v>
      </c>
      <c r="AA71">
        <v>268.04000000000002</v>
      </c>
      <c r="AB71">
        <f t="shared" si="13"/>
        <v>268.03999999999996</v>
      </c>
      <c r="AC71" s="8">
        <f t="shared" si="14"/>
        <v>0.35325127177838106</v>
      </c>
      <c r="AD71" t="s">
        <v>32</v>
      </c>
      <c r="AE71" t="s">
        <v>68</v>
      </c>
      <c r="AF71" t="str">
        <f t="shared" si="15"/>
        <v>Perfect Match</v>
      </c>
    </row>
    <row r="72" spans="1:32">
      <c r="A72" s="6" t="str">
        <f>IF(OR(I72&lt;0, ISTEXT(W72), ISTEXT(Y72)), "Invalid", IF(OR(B72="Conflicting Duplicate", M72="Unknown", S72="Unknown"), "Warning", "Valid"))</f>
        <v>Invalid</v>
      </c>
      <c r="B72" t="str">
        <f t="shared" si="9"/>
        <v>-</v>
      </c>
      <c r="C72" t="s">
        <v>460</v>
      </c>
      <c r="D72" s="2">
        <v>45337</v>
      </c>
      <c r="E72" t="str">
        <f t="shared" si="10"/>
        <v>February</v>
      </c>
      <c r="F72">
        <f t="shared" si="11"/>
        <v>2024</v>
      </c>
      <c r="G72" s="2">
        <v>45339</v>
      </c>
      <c r="H72" t="s">
        <v>461</v>
      </c>
      <c r="I72">
        <f t="shared" si="12"/>
        <v>2</v>
      </c>
      <c r="J72" t="s">
        <v>2795</v>
      </c>
      <c r="K72" t="s">
        <v>36</v>
      </c>
      <c r="L72" t="s">
        <v>95</v>
      </c>
      <c r="M72" t="s">
        <v>54</v>
      </c>
      <c r="N72" t="s">
        <v>247</v>
      </c>
      <c r="O72" t="s">
        <v>248</v>
      </c>
      <c r="P72" t="s">
        <v>74</v>
      </c>
      <c r="Q72" t="s">
        <v>274</v>
      </c>
      <c r="R72" t="s">
        <v>462</v>
      </c>
      <c r="S72" t="s">
        <v>59</v>
      </c>
      <c r="T72">
        <v>9</v>
      </c>
      <c r="U72">
        <v>3324.55</v>
      </c>
      <c r="V72" s="5">
        <v>0.7</v>
      </c>
      <c r="W72" s="4" t="s">
        <v>2794</v>
      </c>
      <c r="X72">
        <v>25432.81</v>
      </c>
      <c r="Y72" s="4" t="str">
        <f t="shared" si="8"/>
        <v>Cannot Calculate</v>
      </c>
      <c r="Z72">
        <v>20370.16</v>
      </c>
      <c r="AA72">
        <v>5062.6499999999996</v>
      </c>
      <c r="AB72" s="4" t="str">
        <f t="shared" si="13"/>
        <v>Cannot Calculate</v>
      </c>
      <c r="AC72" s="9">
        <f t="shared" si="14"/>
        <v>0</v>
      </c>
      <c r="AD72" t="s">
        <v>32</v>
      </c>
      <c r="AE72" t="s">
        <v>33</v>
      </c>
      <c r="AF72" t="str">
        <f t="shared" si="15"/>
        <v>Calculation Blocked</v>
      </c>
    </row>
    <row r="73" spans="1:32">
      <c r="A73" t="str">
        <f>IF(OR(I73&lt;0, ISTEXT(W73), ISTEXT(Y73)), "Invalid", IF(OR(B73="Conflicting Duplicate", M73="Unknown", S73="Unknown"), "Warning", "Valid"))</f>
        <v>Valid</v>
      </c>
      <c r="B73" t="str">
        <f t="shared" si="9"/>
        <v>-</v>
      </c>
      <c r="C73" t="s">
        <v>463</v>
      </c>
      <c r="D73" s="2">
        <v>45453</v>
      </c>
      <c r="E73" t="str">
        <f t="shared" si="10"/>
        <v>June</v>
      </c>
      <c r="F73">
        <f t="shared" si="11"/>
        <v>2024</v>
      </c>
      <c r="G73" s="2">
        <v>45461</v>
      </c>
      <c r="H73" t="s">
        <v>464</v>
      </c>
      <c r="I73">
        <f t="shared" si="12"/>
        <v>8</v>
      </c>
      <c r="J73" t="s">
        <v>2795</v>
      </c>
      <c r="K73" t="s">
        <v>71</v>
      </c>
      <c r="L73" t="s">
        <v>95</v>
      </c>
      <c r="M73" t="s">
        <v>54</v>
      </c>
      <c r="N73" t="s">
        <v>84</v>
      </c>
      <c r="O73" t="s">
        <v>85</v>
      </c>
      <c r="P73" t="s">
        <v>74</v>
      </c>
      <c r="Q73" t="s">
        <v>80</v>
      </c>
      <c r="R73" t="s">
        <v>465</v>
      </c>
      <c r="S73" t="s">
        <v>44</v>
      </c>
      <c r="T73">
        <v>5</v>
      </c>
      <c r="U73">
        <v>1580.27</v>
      </c>
      <c r="V73">
        <v>0.2</v>
      </c>
      <c r="W73">
        <v>0.2</v>
      </c>
      <c r="X73">
        <v>6321.08</v>
      </c>
      <c r="Y73">
        <f t="shared" si="8"/>
        <v>6321.08</v>
      </c>
      <c r="Z73">
        <v>4407.22</v>
      </c>
      <c r="AA73">
        <v>1913.86</v>
      </c>
      <c r="AB73">
        <f t="shared" si="13"/>
        <v>1913.8599999999997</v>
      </c>
      <c r="AC73" s="8">
        <f t="shared" si="14"/>
        <v>0.30277420947053346</v>
      </c>
      <c r="AD73" t="s">
        <v>32</v>
      </c>
      <c r="AE73" t="s">
        <v>33</v>
      </c>
      <c r="AF73" t="str">
        <f t="shared" si="15"/>
        <v>Perfect Match</v>
      </c>
    </row>
    <row r="74" spans="1:32">
      <c r="A74" t="str">
        <f>IF(OR(I74&lt;0, ISTEXT(W74), ISTEXT(Y74)), "Invalid", IF(OR(B74="Conflicting Duplicate", M74="Unknown", S74="Unknown"), "Warning", "Valid"))</f>
        <v>Valid</v>
      </c>
      <c r="B74" t="str">
        <f t="shared" si="9"/>
        <v>-</v>
      </c>
      <c r="C74" t="s">
        <v>466</v>
      </c>
      <c r="D74" s="2">
        <v>45455</v>
      </c>
      <c r="E74" t="str">
        <f t="shared" si="10"/>
        <v>June</v>
      </c>
      <c r="F74">
        <f t="shared" si="11"/>
        <v>2024</v>
      </c>
      <c r="G74" s="2">
        <v>45462</v>
      </c>
      <c r="H74" t="s">
        <v>467</v>
      </c>
      <c r="I74">
        <f t="shared" si="12"/>
        <v>7</v>
      </c>
      <c r="J74" t="s">
        <v>2795</v>
      </c>
      <c r="K74" t="s">
        <v>89</v>
      </c>
      <c r="L74" t="s">
        <v>37</v>
      </c>
      <c r="M74" t="s">
        <v>54</v>
      </c>
      <c r="N74" t="s">
        <v>185</v>
      </c>
      <c r="O74" t="s">
        <v>186</v>
      </c>
      <c r="P74" t="s">
        <v>41</v>
      </c>
      <c r="Q74" t="s">
        <v>66</v>
      </c>
      <c r="R74" t="s">
        <v>468</v>
      </c>
      <c r="S74" t="s">
        <v>59</v>
      </c>
      <c r="T74">
        <v>8</v>
      </c>
      <c r="U74">
        <v>314.05</v>
      </c>
      <c r="V74">
        <v>0.25</v>
      </c>
      <c r="W74">
        <v>0.25</v>
      </c>
      <c r="X74">
        <v>1884.3</v>
      </c>
      <c r="Y74">
        <f t="shared" si="8"/>
        <v>1884.3</v>
      </c>
      <c r="Z74">
        <v>1517.69</v>
      </c>
      <c r="AA74">
        <v>366.61</v>
      </c>
      <c r="AB74">
        <f t="shared" si="13"/>
        <v>366.6099999999999</v>
      </c>
      <c r="AC74" s="8">
        <f t="shared" si="14"/>
        <v>0.19456031417502517</v>
      </c>
      <c r="AD74" t="s">
        <v>102</v>
      </c>
      <c r="AE74" t="s">
        <v>103</v>
      </c>
      <c r="AF74" t="str">
        <f t="shared" si="15"/>
        <v>Perfect Match</v>
      </c>
    </row>
    <row r="75" spans="1:32">
      <c r="A75" t="str">
        <f>IF(OR(I75&lt;0, ISTEXT(W75), ISTEXT(Y75)), "Invalid", IF(OR(B75="Conflicting Duplicate", M75="Unknown", S75="Unknown"), "Warning", "Valid"))</f>
        <v>Valid</v>
      </c>
      <c r="B75" t="str">
        <f t="shared" si="9"/>
        <v>-</v>
      </c>
      <c r="C75" t="s">
        <v>469</v>
      </c>
      <c r="D75" s="2">
        <v>45514</v>
      </c>
      <c r="E75" t="str">
        <f t="shared" si="10"/>
        <v>August</v>
      </c>
      <c r="F75">
        <f t="shared" si="11"/>
        <v>2024</v>
      </c>
      <c r="G75" s="2">
        <v>45522</v>
      </c>
      <c r="H75" t="s">
        <v>470</v>
      </c>
      <c r="I75">
        <f t="shared" si="12"/>
        <v>8</v>
      </c>
      <c r="J75" t="s">
        <v>2795</v>
      </c>
      <c r="K75" t="s">
        <v>132</v>
      </c>
      <c r="L75" t="s">
        <v>37</v>
      </c>
      <c r="M75" t="s">
        <v>38</v>
      </c>
      <c r="N75" t="s">
        <v>145</v>
      </c>
      <c r="O75" t="s">
        <v>146</v>
      </c>
      <c r="P75" t="s">
        <v>74</v>
      </c>
      <c r="Q75" t="s">
        <v>171</v>
      </c>
      <c r="R75" t="s">
        <v>471</v>
      </c>
      <c r="S75" t="s">
        <v>59</v>
      </c>
      <c r="T75">
        <v>1</v>
      </c>
      <c r="U75">
        <v>1823.67</v>
      </c>
      <c r="V75">
        <v>0.2</v>
      </c>
      <c r="W75">
        <v>0.2</v>
      </c>
      <c r="X75">
        <v>1458.94</v>
      </c>
      <c r="Y75">
        <f t="shared" si="8"/>
        <v>1458.94</v>
      </c>
      <c r="Z75">
        <v>893.2</v>
      </c>
      <c r="AA75">
        <v>565.74</v>
      </c>
      <c r="AB75">
        <f t="shared" si="13"/>
        <v>565.74</v>
      </c>
      <c r="AC75" s="8">
        <f t="shared" si="14"/>
        <v>0.38777468573073598</v>
      </c>
      <c r="AD75" t="s">
        <v>32</v>
      </c>
      <c r="AE75" t="s">
        <v>103</v>
      </c>
      <c r="AF75" t="str">
        <f t="shared" si="15"/>
        <v>Perfect Match</v>
      </c>
    </row>
    <row r="76" spans="1:32">
      <c r="A76" s="6" t="str">
        <f>IF(OR(I76&lt;0, ISTEXT(W76), ISTEXT(Y76)), "Invalid", IF(OR(B76="Conflicting Duplicate", M76="Unknown", S76="Unknown"), "Warning", "Valid"))</f>
        <v>Invalid</v>
      </c>
      <c r="B76" t="str">
        <f t="shared" si="9"/>
        <v>-</v>
      </c>
      <c r="C76" t="s">
        <v>476</v>
      </c>
      <c r="D76" s="2">
        <v>45626</v>
      </c>
      <c r="E76" t="str">
        <f t="shared" si="10"/>
        <v>November</v>
      </c>
      <c r="F76">
        <f t="shared" si="11"/>
        <v>2024</v>
      </c>
      <c r="G76" s="2">
        <v>45394</v>
      </c>
      <c r="H76" t="s">
        <v>477</v>
      </c>
      <c r="I76" s="7">
        <f t="shared" si="12"/>
        <v>-232</v>
      </c>
      <c r="J76" s="7" t="s">
        <v>2802</v>
      </c>
      <c r="K76" t="s">
        <v>62</v>
      </c>
      <c r="L76" t="s">
        <v>37</v>
      </c>
      <c r="M76" t="s">
        <v>38</v>
      </c>
      <c r="N76" t="s">
        <v>166</v>
      </c>
      <c r="O76" t="s">
        <v>167</v>
      </c>
      <c r="P76" t="s">
        <v>41</v>
      </c>
      <c r="Q76" t="s">
        <v>66</v>
      </c>
      <c r="R76" t="s">
        <v>478</v>
      </c>
      <c r="S76" t="s">
        <v>31</v>
      </c>
      <c r="T76">
        <v>3</v>
      </c>
      <c r="U76">
        <v>170.35</v>
      </c>
      <c r="V76">
        <v>0</v>
      </c>
      <c r="W76">
        <v>0</v>
      </c>
      <c r="X76">
        <v>511.05</v>
      </c>
      <c r="Y76">
        <f t="shared" si="8"/>
        <v>511.05</v>
      </c>
      <c r="Z76">
        <v>367.18</v>
      </c>
      <c r="AA76">
        <v>143.87</v>
      </c>
      <c r="AB76">
        <f t="shared" si="13"/>
        <v>143.87</v>
      </c>
      <c r="AC76" s="8">
        <f t="shared" si="14"/>
        <v>0.28151844242246354</v>
      </c>
      <c r="AD76" t="s">
        <v>32</v>
      </c>
      <c r="AE76" t="s">
        <v>33</v>
      </c>
      <c r="AF76" t="str">
        <f t="shared" si="15"/>
        <v>Perfect Match</v>
      </c>
    </row>
    <row r="77" spans="1:32">
      <c r="A77" s="6" t="str">
        <f>IF(OR(I77&lt;0, ISTEXT(W77), ISTEXT(Y77)), "Invalid", IF(OR(B77="Conflicting Duplicate", M77="Unknown", S77="Unknown"), "Warning", "Valid"))</f>
        <v>Warning</v>
      </c>
      <c r="B77" t="str">
        <f>IF(COUNTIF(C:C, C77)&gt;1, "Conflicting Duplicate", "-")</f>
        <v>Conflicting Duplicate</v>
      </c>
      <c r="C77" t="s">
        <v>479</v>
      </c>
      <c r="D77" s="2">
        <v>45436</v>
      </c>
      <c r="E77" t="str">
        <f t="shared" si="10"/>
        <v>May</v>
      </c>
      <c r="F77">
        <f t="shared" si="11"/>
        <v>2024</v>
      </c>
      <c r="G77" s="2">
        <v>45437</v>
      </c>
      <c r="H77" t="s">
        <v>480</v>
      </c>
      <c r="I77">
        <f t="shared" si="12"/>
        <v>1</v>
      </c>
      <c r="J77" t="s">
        <v>2795</v>
      </c>
      <c r="K77" t="s">
        <v>132</v>
      </c>
      <c r="L77" t="s">
        <v>37</v>
      </c>
      <c r="M77" t="s">
        <v>481</v>
      </c>
      <c r="N77" t="s">
        <v>122</v>
      </c>
      <c r="O77" t="s">
        <v>123</v>
      </c>
      <c r="P77" t="s">
        <v>74</v>
      </c>
      <c r="Q77" t="s">
        <v>80</v>
      </c>
      <c r="R77" t="s">
        <v>482</v>
      </c>
      <c r="S77" t="s">
        <v>44</v>
      </c>
      <c r="T77">
        <v>1</v>
      </c>
      <c r="U77">
        <v>634.13</v>
      </c>
      <c r="V77">
        <v>0</v>
      </c>
      <c r="W77">
        <v>0</v>
      </c>
      <c r="X77">
        <v>634.13</v>
      </c>
      <c r="Y77">
        <f t="shared" si="8"/>
        <v>634.13</v>
      </c>
      <c r="Z77">
        <v>453.35</v>
      </c>
      <c r="AA77">
        <v>180.78</v>
      </c>
      <c r="AB77">
        <f t="shared" si="13"/>
        <v>180.77999999999997</v>
      </c>
      <c r="AC77" s="8">
        <f t="shared" si="14"/>
        <v>0.28508350022865969</v>
      </c>
      <c r="AD77" t="s">
        <v>102</v>
      </c>
      <c r="AE77" t="s">
        <v>68</v>
      </c>
      <c r="AF77" t="str">
        <f t="shared" si="15"/>
        <v>Perfect Match</v>
      </c>
    </row>
    <row r="78" spans="1:32">
      <c r="A78" s="6" t="str">
        <f>IF(OR(I78&lt;0, ISTEXT(W78), ISTEXT(Y78)), "Invalid", IF(OR(B78="Conflicting Duplicate", M78="Unknown", S78="Unknown"), "Warning", "Valid"))</f>
        <v>Warning</v>
      </c>
      <c r="B78" t="str">
        <f t="shared" si="9"/>
        <v>Conflicting Duplicate</v>
      </c>
      <c r="C78" t="s">
        <v>479</v>
      </c>
      <c r="D78" s="2">
        <v>45436</v>
      </c>
      <c r="E78" t="str">
        <f t="shared" si="10"/>
        <v>May</v>
      </c>
      <c r="F78">
        <f t="shared" si="11"/>
        <v>2024</v>
      </c>
      <c r="G78" s="2">
        <v>45437</v>
      </c>
      <c r="H78" t="s">
        <v>480</v>
      </c>
      <c r="I78">
        <f t="shared" si="12"/>
        <v>1</v>
      </c>
      <c r="J78" t="s">
        <v>2795</v>
      </c>
      <c r="K78" t="s">
        <v>132</v>
      </c>
      <c r="L78" t="s">
        <v>37</v>
      </c>
      <c r="M78" t="s">
        <v>481</v>
      </c>
      <c r="N78" t="s">
        <v>122</v>
      </c>
      <c r="O78" t="s">
        <v>123</v>
      </c>
      <c r="P78" t="s">
        <v>74</v>
      </c>
      <c r="Q78" t="s">
        <v>80</v>
      </c>
      <c r="R78" t="s">
        <v>482</v>
      </c>
      <c r="S78" t="s">
        <v>44</v>
      </c>
      <c r="T78">
        <v>1</v>
      </c>
      <c r="U78">
        <v>634.13</v>
      </c>
      <c r="V78">
        <v>0</v>
      </c>
      <c r="W78">
        <v>0</v>
      </c>
      <c r="X78">
        <v>808.67</v>
      </c>
      <c r="Y78">
        <f t="shared" si="8"/>
        <v>634.13</v>
      </c>
      <c r="Z78">
        <v>453.35</v>
      </c>
      <c r="AA78">
        <v>180.78</v>
      </c>
      <c r="AB78">
        <f t="shared" si="13"/>
        <v>180.77999999999997</v>
      </c>
      <c r="AC78" s="8">
        <f t="shared" si="14"/>
        <v>0.28508350022865969</v>
      </c>
      <c r="AD78" t="s">
        <v>102</v>
      </c>
      <c r="AE78" t="s">
        <v>103</v>
      </c>
      <c r="AF78" t="str">
        <f t="shared" si="15"/>
        <v>Mismatch Found</v>
      </c>
    </row>
    <row r="79" spans="1:32">
      <c r="A79" s="6" t="str">
        <f>IF(OR(I79&lt;0, ISTEXT(W79), ISTEXT(Y79)), "Invalid", IF(OR(B79="Conflicting Duplicate", M79="Unknown", S79="Unknown"), "Warning", "Valid"))</f>
        <v>Invalid</v>
      </c>
      <c r="B79" t="str">
        <f t="shared" si="9"/>
        <v>-</v>
      </c>
      <c r="C79" t="s">
        <v>483</v>
      </c>
      <c r="D79" s="2">
        <v>45494</v>
      </c>
      <c r="E79" t="str">
        <f t="shared" si="10"/>
        <v>July</v>
      </c>
      <c r="F79">
        <f t="shared" si="11"/>
        <v>2024</v>
      </c>
      <c r="G79" s="2">
        <v>45497</v>
      </c>
      <c r="H79" t="s">
        <v>484</v>
      </c>
      <c r="I79">
        <f t="shared" si="12"/>
        <v>3</v>
      </c>
      <c r="J79" t="s">
        <v>2795</v>
      </c>
      <c r="K79" t="s">
        <v>47</v>
      </c>
      <c r="L79" t="s">
        <v>90</v>
      </c>
      <c r="M79" t="s">
        <v>54</v>
      </c>
      <c r="N79" t="s">
        <v>175</v>
      </c>
      <c r="O79" t="s">
        <v>176</v>
      </c>
      <c r="P79" t="s">
        <v>74</v>
      </c>
      <c r="Q79" t="s">
        <v>80</v>
      </c>
      <c r="R79" t="s">
        <v>485</v>
      </c>
      <c r="S79" t="s">
        <v>59</v>
      </c>
      <c r="T79">
        <v>9</v>
      </c>
      <c r="U79">
        <v>465.06</v>
      </c>
      <c r="V79">
        <v>-0.15</v>
      </c>
      <c r="W79" s="4" t="s">
        <v>2794</v>
      </c>
      <c r="X79">
        <v>4185.54</v>
      </c>
      <c r="Y79" s="4" t="str">
        <f t="shared" si="8"/>
        <v>Cannot Calculate</v>
      </c>
      <c r="Z79">
        <v>3443.74</v>
      </c>
      <c r="AA79">
        <v>741.8</v>
      </c>
      <c r="AB79" s="4" t="str">
        <f t="shared" si="13"/>
        <v>Cannot Calculate</v>
      </c>
      <c r="AC79" s="9">
        <f t="shared" si="14"/>
        <v>0</v>
      </c>
      <c r="AD79" t="s">
        <v>32</v>
      </c>
      <c r="AE79" t="s">
        <v>33</v>
      </c>
      <c r="AF79" t="str">
        <f t="shared" si="15"/>
        <v>Calculation Blocked</v>
      </c>
    </row>
    <row r="80" spans="1:32">
      <c r="A80" t="str">
        <f>IF(OR(I80&lt;0, ISTEXT(W80), ISTEXT(Y80)), "Invalid", IF(OR(B80="Conflicting Duplicate", M80="Unknown", S80="Unknown"), "Warning", "Valid"))</f>
        <v>Valid</v>
      </c>
      <c r="B80" t="str">
        <f t="shared" si="9"/>
        <v>-</v>
      </c>
      <c r="C80" t="s">
        <v>495</v>
      </c>
      <c r="D80" s="2">
        <v>45639</v>
      </c>
      <c r="E80" t="str">
        <f t="shared" si="10"/>
        <v>December</v>
      </c>
      <c r="F80">
        <f t="shared" si="11"/>
        <v>2024</v>
      </c>
      <c r="G80" s="2">
        <v>45642</v>
      </c>
      <c r="H80" t="s">
        <v>496</v>
      </c>
      <c r="I80">
        <f t="shared" si="12"/>
        <v>3</v>
      </c>
      <c r="J80" t="s">
        <v>2795</v>
      </c>
      <c r="K80" t="s">
        <v>79</v>
      </c>
      <c r="L80" t="s">
        <v>37</v>
      </c>
      <c r="M80" t="s">
        <v>38</v>
      </c>
      <c r="N80" t="s">
        <v>39</v>
      </c>
      <c r="O80" t="s">
        <v>40</v>
      </c>
      <c r="P80" t="s">
        <v>41</v>
      </c>
      <c r="Q80" t="s">
        <v>57</v>
      </c>
      <c r="R80" t="s">
        <v>497</v>
      </c>
      <c r="S80" t="s">
        <v>59</v>
      </c>
      <c r="T80">
        <v>5</v>
      </c>
      <c r="U80">
        <v>923.45</v>
      </c>
      <c r="V80">
        <v>0.05</v>
      </c>
      <c r="W80">
        <v>0.05</v>
      </c>
      <c r="X80">
        <v>4386.3900000000003</v>
      </c>
      <c r="Y80">
        <f t="shared" si="8"/>
        <v>4386.3900000000003</v>
      </c>
      <c r="Z80">
        <v>3366.88</v>
      </c>
      <c r="AA80">
        <v>1019.51</v>
      </c>
      <c r="AB80">
        <f t="shared" si="13"/>
        <v>1019.5100000000002</v>
      </c>
      <c r="AC80" s="8">
        <f t="shared" si="14"/>
        <v>0.23242575329599058</v>
      </c>
      <c r="AD80" t="s">
        <v>32</v>
      </c>
      <c r="AE80" t="s">
        <v>103</v>
      </c>
      <c r="AF80" t="str">
        <f t="shared" si="15"/>
        <v>Perfect Match</v>
      </c>
    </row>
    <row r="81" spans="1:32">
      <c r="A81" t="str">
        <f>IF(OR(I81&lt;0, ISTEXT(W81), ISTEXT(Y81)), "Invalid", IF(OR(B81="Conflicting Duplicate", M81="Unknown", S81="Unknown"), "Warning", "Valid"))</f>
        <v>Valid</v>
      </c>
      <c r="B81" t="str">
        <f t="shared" si="9"/>
        <v>-</v>
      </c>
      <c r="C81" t="s">
        <v>498</v>
      </c>
      <c r="D81" s="2">
        <v>45492</v>
      </c>
      <c r="E81" t="str">
        <f t="shared" si="10"/>
        <v>July</v>
      </c>
      <c r="F81">
        <f t="shared" si="11"/>
        <v>2024</v>
      </c>
      <c r="G81" s="2">
        <v>45498</v>
      </c>
      <c r="H81" t="s">
        <v>499</v>
      </c>
      <c r="I81">
        <f t="shared" si="12"/>
        <v>6</v>
      </c>
      <c r="J81" t="s">
        <v>2795</v>
      </c>
      <c r="K81" t="s">
        <v>47</v>
      </c>
      <c r="L81" t="s">
        <v>37</v>
      </c>
      <c r="M81" t="s">
        <v>63</v>
      </c>
      <c r="N81" t="s">
        <v>190</v>
      </c>
      <c r="O81" t="s">
        <v>191</v>
      </c>
      <c r="P81" t="s">
        <v>28</v>
      </c>
      <c r="Q81" t="s">
        <v>153</v>
      </c>
      <c r="R81" t="s">
        <v>500</v>
      </c>
      <c r="S81" t="s">
        <v>59</v>
      </c>
      <c r="T81">
        <v>7</v>
      </c>
      <c r="U81">
        <v>2741.29</v>
      </c>
      <c r="V81">
        <v>0.05</v>
      </c>
      <c r="W81">
        <v>0.05</v>
      </c>
      <c r="X81">
        <v>18229.580000000002</v>
      </c>
      <c r="Y81">
        <f t="shared" si="8"/>
        <v>18229.580000000002</v>
      </c>
      <c r="Z81">
        <v>15139.15</v>
      </c>
      <c r="AA81">
        <v>3090.43</v>
      </c>
      <c r="AB81">
        <f t="shared" si="13"/>
        <v>3090.4300000000021</v>
      </c>
      <c r="AC81" s="8">
        <f t="shared" si="14"/>
        <v>0.16952831606652494</v>
      </c>
      <c r="AD81" t="s">
        <v>32</v>
      </c>
      <c r="AE81" t="s">
        <v>33</v>
      </c>
      <c r="AF81" t="str">
        <f t="shared" si="15"/>
        <v>Perfect Match</v>
      </c>
    </row>
    <row r="82" spans="1:32">
      <c r="A82" t="str">
        <f>IF(OR(I82&lt;0, ISTEXT(W82), ISTEXT(Y82)), "Invalid", IF(OR(B82="Conflicting Duplicate", M82="Unknown", S82="Unknown"), "Warning", "Valid"))</f>
        <v>Valid</v>
      </c>
      <c r="B82" t="str">
        <f t="shared" si="9"/>
        <v>-</v>
      </c>
      <c r="C82" t="s">
        <v>501</v>
      </c>
      <c r="D82" s="2">
        <v>45318</v>
      </c>
      <c r="E82" t="str">
        <f t="shared" si="10"/>
        <v>January</v>
      </c>
      <c r="F82">
        <f t="shared" si="11"/>
        <v>2024</v>
      </c>
      <c r="G82" s="2">
        <v>45324</v>
      </c>
      <c r="H82" t="s">
        <v>502</v>
      </c>
      <c r="I82">
        <f t="shared" si="12"/>
        <v>6</v>
      </c>
      <c r="J82" t="s">
        <v>2795</v>
      </c>
      <c r="K82" t="s">
        <v>53</v>
      </c>
      <c r="L82" t="s">
        <v>24</v>
      </c>
      <c r="M82" t="s">
        <v>63</v>
      </c>
      <c r="N82" t="s">
        <v>180</v>
      </c>
      <c r="O82" t="s">
        <v>181</v>
      </c>
      <c r="P82" t="s">
        <v>28</v>
      </c>
      <c r="Q82" t="s">
        <v>91</v>
      </c>
      <c r="R82" t="s">
        <v>503</v>
      </c>
      <c r="S82" t="s">
        <v>44</v>
      </c>
      <c r="T82">
        <v>5</v>
      </c>
      <c r="U82">
        <v>218.42</v>
      </c>
      <c r="V82">
        <v>0.2</v>
      </c>
      <c r="W82">
        <v>0.2</v>
      </c>
      <c r="X82">
        <v>873.68</v>
      </c>
      <c r="Y82">
        <f t="shared" si="8"/>
        <v>873.68</v>
      </c>
      <c r="Z82">
        <v>661.72</v>
      </c>
      <c r="AA82">
        <v>211.96</v>
      </c>
      <c r="AB82">
        <f t="shared" si="13"/>
        <v>211.95999999999992</v>
      </c>
      <c r="AC82" s="8">
        <f t="shared" si="14"/>
        <v>0.24260598846259493</v>
      </c>
      <c r="AD82" t="s">
        <v>111</v>
      </c>
      <c r="AE82" t="s">
        <v>68</v>
      </c>
      <c r="AF82" t="str">
        <f t="shared" si="15"/>
        <v>Perfect Match</v>
      </c>
    </row>
    <row r="83" spans="1:32">
      <c r="A83" t="str">
        <f>IF(OR(I83&lt;0, ISTEXT(W83), ISTEXT(Y83)), "Invalid", IF(OR(B83="Conflicting Duplicate", M83="Unknown", S83="Unknown"), "Warning", "Valid"))</f>
        <v>Valid</v>
      </c>
      <c r="B83" t="str">
        <f t="shared" si="9"/>
        <v>-</v>
      </c>
      <c r="C83" t="s">
        <v>507</v>
      </c>
      <c r="D83" s="2">
        <v>45600</v>
      </c>
      <c r="E83" t="str">
        <f t="shared" si="10"/>
        <v>November</v>
      </c>
      <c r="F83">
        <f t="shared" si="11"/>
        <v>2024</v>
      </c>
      <c r="G83" s="2">
        <v>45600</v>
      </c>
      <c r="H83" t="s">
        <v>508</v>
      </c>
      <c r="I83">
        <f t="shared" si="12"/>
        <v>0</v>
      </c>
      <c r="J83" t="s">
        <v>2795</v>
      </c>
      <c r="K83" t="s">
        <v>264</v>
      </c>
      <c r="L83" t="s">
        <v>90</v>
      </c>
      <c r="M83" t="s">
        <v>38</v>
      </c>
      <c r="N83" t="s">
        <v>166</v>
      </c>
      <c r="O83" t="s">
        <v>167</v>
      </c>
      <c r="P83" t="s">
        <v>74</v>
      </c>
      <c r="Q83" t="s">
        <v>274</v>
      </c>
      <c r="R83" t="s">
        <v>509</v>
      </c>
      <c r="S83" t="s">
        <v>50</v>
      </c>
      <c r="T83">
        <v>2</v>
      </c>
      <c r="U83">
        <v>533.08000000000004</v>
      </c>
      <c r="V83">
        <v>0</v>
      </c>
      <c r="W83">
        <v>0</v>
      </c>
      <c r="X83">
        <v>1066.1600000000001</v>
      </c>
      <c r="Y83">
        <f t="shared" si="8"/>
        <v>1066.1600000000001</v>
      </c>
      <c r="Z83">
        <v>656.3</v>
      </c>
      <c r="AA83">
        <v>409.86</v>
      </c>
      <c r="AB83">
        <f t="shared" si="13"/>
        <v>409.86000000000013</v>
      </c>
      <c r="AC83" s="8">
        <f t="shared" si="14"/>
        <v>0.38442635251744589</v>
      </c>
      <c r="AD83" t="s">
        <v>155</v>
      </c>
      <c r="AE83" t="s">
        <v>68</v>
      </c>
      <c r="AF83" t="str">
        <f t="shared" si="15"/>
        <v>Perfect Match</v>
      </c>
    </row>
    <row r="84" spans="1:32">
      <c r="A84" t="str">
        <f>IF(OR(I84&lt;0, ISTEXT(W84), ISTEXT(Y84)), "Invalid", IF(OR(B84="Conflicting Duplicate", M84="Unknown", S84="Unknown"), "Warning", "Valid"))</f>
        <v>Valid</v>
      </c>
      <c r="B84" t="str">
        <f t="shared" si="9"/>
        <v>-</v>
      </c>
      <c r="C84" t="s">
        <v>510</v>
      </c>
      <c r="D84" s="2">
        <v>45639</v>
      </c>
      <c r="E84" t="str">
        <f t="shared" si="10"/>
        <v>December</v>
      </c>
      <c r="F84">
        <f t="shared" si="11"/>
        <v>2024</v>
      </c>
      <c r="G84" s="2">
        <v>45644</v>
      </c>
      <c r="H84" t="s">
        <v>511</v>
      </c>
      <c r="I84">
        <f t="shared" si="12"/>
        <v>5</v>
      </c>
      <c r="J84" t="s">
        <v>2795</v>
      </c>
      <c r="K84" t="s">
        <v>23</v>
      </c>
      <c r="L84" t="s">
        <v>24</v>
      </c>
      <c r="M84" t="s">
        <v>63</v>
      </c>
      <c r="N84" t="s">
        <v>190</v>
      </c>
      <c r="O84" t="s">
        <v>191</v>
      </c>
      <c r="P84" t="s">
        <v>74</v>
      </c>
      <c r="Q84" t="s">
        <v>171</v>
      </c>
      <c r="R84" t="s">
        <v>512</v>
      </c>
      <c r="S84" t="s">
        <v>31</v>
      </c>
      <c r="T84">
        <v>8</v>
      </c>
      <c r="U84">
        <v>3372.15</v>
      </c>
      <c r="V84">
        <v>0.15</v>
      </c>
      <c r="W84">
        <v>0.15</v>
      </c>
      <c r="X84">
        <v>22930.62</v>
      </c>
      <c r="Y84">
        <f t="shared" si="8"/>
        <v>22930.62</v>
      </c>
      <c r="Z84">
        <v>16875.55</v>
      </c>
      <c r="AA84">
        <v>6055.07</v>
      </c>
      <c r="AB84">
        <f t="shared" si="13"/>
        <v>6055.07</v>
      </c>
      <c r="AC84" s="8">
        <f t="shared" si="14"/>
        <v>0.26406045715292475</v>
      </c>
      <c r="AD84" t="s">
        <v>32</v>
      </c>
      <c r="AE84" t="s">
        <v>33</v>
      </c>
      <c r="AF84" t="str">
        <f t="shared" si="15"/>
        <v>Perfect Match</v>
      </c>
    </row>
    <row r="85" spans="1:32">
      <c r="A85" t="str">
        <f>IF(OR(I85&lt;0, ISTEXT(W85), ISTEXT(Y85)), "Invalid", IF(OR(B85="Conflicting Duplicate", M85="Unknown", S85="Unknown"), "Warning", "Valid"))</f>
        <v>Valid</v>
      </c>
      <c r="B85" t="str">
        <f t="shared" si="9"/>
        <v>-</v>
      </c>
      <c r="C85" t="s">
        <v>525</v>
      </c>
      <c r="D85" s="2">
        <v>45311</v>
      </c>
      <c r="E85" t="str">
        <f t="shared" si="10"/>
        <v>January</v>
      </c>
      <c r="F85">
        <f t="shared" si="11"/>
        <v>2024</v>
      </c>
      <c r="G85" s="2">
        <v>45317</v>
      </c>
      <c r="H85" t="s">
        <v>526</v>
      </c>
      <c r="I85">
        <f t="shared" si="12"/>
        <v>6</v>
      </c>
      <c r="J85" t="s">
        <v>2795</v>
      </c>
      <c r="K85" t="s">
        <v>162</v>
      </c>
      <c r="L85" t="s">
        <v>95</v>
      </c>
      <c r="M85" t="s">
        <v>38</v>
      </c>
      <c r="N85" t="s">
        <v>228</v>
      </c>
      <c r="O85" t="s">
        <v>229</v>
      </c>
      <c r="P85" t="s">
        <v>74</v>
      </c>
      <c r="Q85" t="s">
        <v>274</v>
      </c>
      <c r="R85" t="s">
        <v>527</v>
      </c>
      <c r="S85" t="s">
        <v>59</v>
      </c>
      <c r="T85">
        <v>8</v>
      </c>
      <c r="U85">
        <v>4003.05</v>
      </c>
      <c r="V85">
        <v>0.25</v>
      </c>
      <c r="W85">
        <v>0.25</v>
      </c>
      <c r="X85">
        <v>24018.3</v>
      </c>
      <c r="Y85">
        <f t="shared" si="8"/>
        <v>24018.3</v>
      </c>
      <c r="Z85">
        <v>14070.78</v>
      </c>
      <c r="AA85">
        <v>9947.52</v>
      </c>
      <c r="AB85">
        <f t="shared" si="13"/>
        <v>9947.5199999999986</v>
      </c>
      <c r="AC85" s="8">
        <f t="shared" si="14"/>
        <v>0.41416419979765423</v>
      </c>
      <c r="AD85" t="s">
        <v>32</v>
      </c>
      <c r="AE85" t="s">
        <v>33</v>
      </c>
      <c r="AF85" t="str">
        <f t="shared" si="15"/>
        <v>Perfect Match</v>
      </c>
    </row>
    <row r="86" spans="1:32">
      <c r="A86" t="str">
        <f>IF(OR(I86&lt;0, ISTEXT(W86), ISTEXT(Y86)), "Invalid", IF(OR(B86="Conflicting Duplicate", M86="Unknown", S86="Unknown"), "Warning", "Valid"))</f>
        <v>Valid</v>
      </c>
      <c r="B86" t="str">
        <f t="shared" si="9"/>
        <v>-</v>
      </c>
      <c r="C86" t="s">
        <v>531</v>
      </c>
      <c r="D86" s="2">
        <v>45443</v>
      </c>
      <c r="E86" t="str">
        <f t="shared" si="10"/>
        <v>May</v>
      </c>
      <c r="F86">
        <f t="shared" si="11"/>
        <v>2024</v>
      </c>
      <c r="G86" s="2">
        <v>45444</v>
      </c>
      <c r="H86" t="s">
        <v>532</v>
      </c>
      <c r="I86">
        <f t="shared" si="12"/>
        <v>1</v>
      </c>
      <c r="J86" t="s">
        <v>2795</v>
      </c>
      <c r="K86" t="s">
        <v>36</v>
      </c>
      <c r="L86" t="s">
        <v>90</v>
      </c>
      <c r="M86" t="s">
        <v>54</v>
      </c>
      <c r="N86" t="s">
        <v>175</v>
      </c>
      <c r="O86" t="s">
        <v>176</v>
      </c>
      <c r="P86" t="s">
        <v>41</v>
      </c>
      <c r="Q86" t="s">
        <v>158</v>
      </c>
      <c r="R86" t="s">
        <v>533</v>
      </c>
      <c r="S86" t="s">
        <v>44</v>
      </c>
      <c r="T86">
        <v>3</v>
      </c>
      <c r="U86">
        <v>2914.55</v>
      </c>
      <c r="V86">
        <v>0</v>
      </c>
      <c r="W86">
        <v>0</v>
      </c>
      <c r="X86">
        <v>8743.65</v>
      </c>
      <c r="Y86">
        <f t="shared" si="8"/>
        <v>8743.65</v>
      </c>
      <c r="Z86">
        <v>6603.76</v>
      </c>
      <c r="AA86">
        <v>2139.89</v>
      </c>
      <c r="AB86">
        <f t="shared" si="13"/>
        <v>2139.8899999999994</v>
      </c>
      <c r="AC86" s="8">
        <f t="shared" si="14"/>
        <v>0.24473646589239043</v>
      </c>
      <c r="AD86" t="s">
        <v>32</v>
      </c>
      <c r="AE86" t="s">
        <v>33</v>
      </c>
      <c r="AF86" t="str">
        <f t="shared" si="15"/>
        <v>Perfect Match</v>
      </c>
    </row>
    <row r="87" spans="1:32">
      <c r="A87" t="str">
        <f>IF(OR(I87&lt;0, ISTEXT(W87), ISTEXT(Y87)), "Invalid", IF(OR(B87="Conflicting Duplicate", M87="Unknown", S87="Unknown"), "Warning", "Valid"))</f>
        <v>Valid</v>
      </c>
      <c r="B87" t="str">
        <f t="shared" si="9"/>
        <v>-</v>
      </c>
      <c r="C87" t="s">
        <v>534</v>
      </c>
      <c r="D87" s="2">
        <v>45374</v>
      </c>
      <c r="E87" t="str">
        <f t="shared" si="10"/>
        <v>March</v>
      </c>
      <c r="F87">
        <f t="shared" si="11"/>
        <v>2024</v>
      </c>
      <c r="G87" s="2">
        <v>45380</v>
      </c>
      <c r="H87" t="s">
        <v>535</v>
      </c>
      <c r="I87">
        <f t="shared" si="12"/>
        <v>6</v>
      </c>
      <c r="J87" t="s">
        <v>2795</v>
      </c>
      <c r="K87" t="s">
        <v>114</v>
      </c>
      <c r="L87" t="s">
        <v>90</v>
      </c>
      <c r="M87" t="s">
        <v>25</v>
      </c>
      <c r="N87" t="s">
        <v>350</v>
      </c>
      <c r="O87" t="s">
        <v>351</v>
      </c>
      <c r="P87" t="s">
        <v>41</v>
      </c>
      <c r="Q87" t="s">
        <v>158</v>
      </c>
      <c r="R87" t="s">
        <v>536</v>
      </c>
      <c r="S87" t="s">
        <v>44</v>
      </c>
      <c r="T87">
        <v>7</v>
      </c>
      <c r="U87">
        <v>634.29</v>
      </c>
      <c r="V87">
        <v>0.1</v>
      </c>
      <c r="W87">
        <v>0.1</v>
      </c>
      <c r="X87">
        <v>3996.03</v>
      </c>
      <c r="Y87">
        <f t="shared" si="8"/>
        <v>3996.03</v>
      </c>
      <c r="Z87">
        <v>2859.51</v>
      </c>
      <c r="AA87">
        <v>1136.52</v>
      </c>
      <c r="AB87">
        <f t="shared" si="13"/>
        <v>1136.52</v>
      </c>
      <c r="AC87" s="8">
        <f t="shared" si="14"/>
        <v>0.28441227918709316</v>
      </c>
      <c r="AD87" t="s">
        <v>32</v>
      </c>
      <c r="AE87" t="s">
        <v>103</v>
      </c>
      <c r="AF87" t="str">
        <f t="shared" si="15"/>
        <v>Perfect Match</v>
      </c>
    </row>
    <row r="88" spans="1:32">
      <c r="A88" s="6" t="str">
        <f>IF(OR(I88&lt;0, ISTEXT(W88), ISTEXT(Y88)), "Invalid", IF(OR(B88="Conflicting Duplicate", M88="Unknown", S88="Unknown"), "Warning", "Valid"))</f>
        <v>Invalid</v>
      </c>
      <c r="B88" t="str">
        <f t="shared" si="9"/>
        <v>Conflicting Duplicate</v>
      </c>
      <c r="C88" t="s">
        <v>537</v>
      </c>
      <c r="D88" s="2">
        <v>45381</v>
      </c>
      <c r="E88" t="str">
        <f t="shared" si="10"/>
        <v>March</v>
      </c>
      <c r="F88">
        <f t="shared" si="11"/>
        <v>2024</v>
      </c>
      <c r="G88" s="2">
        <v>45377</v>
      </c>
      <c r="H88" t="s">
        <v>538</v>
      </c>
      <c r="I88" s="7">
        <f t="shared" si="12"/>
        <v>-4</v>
      </c>
      <c r="J88" s="7" t="s">
        <v>2802</v>
      </c>
      <c r="K88" t="s">
        <v>89</v>
      </c>
      <c r="L88" t="s">
        <v>95</v>
      </c>
      <c r="M88" t="s">
        <v>25</v>
      </c>
      <c r="N88" t="s">
        <v>26</v>
      </c>
      <c r="O88" t="s">
        <v>27</v>
      </c>
      <c r="P88" t="s">
        <v>74</v>
      </c>
      <c r="Q88" t="s">
        <v>171</v>
      </c>
      <c r="R88" t="s">
        <v>539</v>
      </c>
      <c r="S88" t="s">
        <v>31</v>
      </c>
      <c r="T88">
        <v>5</v>
      </c>
      <c r="U88">
        <v>907.54</v>
      </c>
      <c r="V88">
        <v>0.15</v>
      </c>
      <c r="W88">
        <v>0.15</v>
      </c>
      <c r="X88">
        <v>3857.04</v>
      </c>
      <c r="Y88">
        <f t="shared" si="8"/>
        <v>3857.05</v>
      </c>
      <c r="Z88">
        <v>2769.26</v>
      </c>
      <c r="AA88">
        <v>1087.78</v>
      </c>
      <c r="AB88">
        <f t="shared" si="13"/>
        <v>1087.79</v>
      </c>
      <c r="AC88" s="8">
        <f t="shared" si="14"/>
        <v>0.28202641915453519</v>
      </c>
      <c r="AD88" t="s">
        <v>32</v>
      </c>
      <c r="AE88" t="s">
        <v>33</v>
      </c>
      <c r="AF88" t="str">
        <f t="shared" si="15"/>
        <v>Mismatch Found</v>
      </c>
    </row>
    <row r="89" spans="1:32">
      <c r="A89" s="6" t="str">
        <f>IF(OR(I89&lt;0, ISTEXT(W89), ISTEXT(Y89)), "Invalid", IF(OR(B89="Conflicting Duplicate", M89="Unknown", S89="Unknown"), "Warning", "Valid"))</f>
        <v>Invalid</v>
      </c>
      <c r="B89" t="str">
        <f t="shared" si="9"/>
        <v>Conflicting Duplicate</v>
      </c>
      <c r="C89" t="s">
        <v>537</v>
      </c>
      <c r="D89" s="2">
        <v>45381</v>
      </c>
      <c r="E89" t="str">
        <f t="shared" si="10"/>
        <v>March</v>
      </c>
      <c r="F89">
        <f t="shared" si="11"/>
        <v>2024</v>
      </c>
      <c r="G89" s="2">
        <v>45377</v>
      </c>
      <c r="H89" t="s">
        <v>538</v>
      </c>
      <c r="I89" s="7">
        <f t="shared" si="12"/>
        <v>-4</v>
      </c>
      <c r="J89" s="7" t="s">
        <v>2802</v>
      </c>
      <c r="K89" t="s">
        <v>89</v>
      </c>
      <c r="L89" t="s">
        <v>95</v>
      </c>
      <c r="M89" t="s">
        <v>25</v>
      </c>
      <c r="N89" t="s">
        <v>26</v>
      </c>
      <c r="O89" t="s">
        <v>27</v>
      </c>
      <c r="P89" t="s">
        <v>74</v>
      </c>
      <c r="Q89" t="s">
        <v>171</v>
      </c>
      <c r="R89" t="s">
        <v>539</v>
      </c>
      <c r="S89" t="s">
        <v>31</v>
      </c>
      <c r="T89">
        <v>5</v>
      </c>
      <c r="U89">
        <v>907.54</v>
      </c>
      <c r="V89">
        <v>0.15</v>
      </c>
      <c r="W89">
        <v>0.15</v>
      </c>
      <c r="X89">
        <v>4099.6899999999996</v>
      </c>
      <c r="Y89">
        <f t="shared" si="8"/>
        <v>3857.05</v>
      </c>
      <c r="Z89">
        <v>2769.26</v>
      </c>
      <c r="AA89">
        <v>1087.78</v>
      </c>
      <c r="AB89">
        <f t="shared" si="13"/>
        <v>1087.79</v>
      </c>
      <c r="AC89" s="8">
        <f t="shared" si="14"/>
        <v>0.28202641915453519</v>
      </c>
      <c r="AD89" t="s">
        <v>32</v>
      </c>
      <c r="AE89" t="s">
        <v>103</v>
      </c>
      <c r="AF89" t="str">
        <f t="shared" si="15"/>
        <v>Mismatch Found</v>
      </c>
    </row>
    <row r="90" spans="1:32">
      <c r="A90" t="str">
        <f>IF(OR(I90&lt;0, ISTEXT(W90), ISTEXT(Y90)), "Invalid", IF(OR(B90="Conflicting Duplicate", M90="Unknown", S90="Unknown"), "Warning", "Valid"))</f>
        <v>Valid</v>
      </c>
      <c r="B90" t="str">
        <f t="shared" si="9"/>
        <v>-</v>
      </c>
      <c r="C90" t="s">
        <v>540</v>
      </c>
      <c r="D90" s="2">
        <v>45375</v>
      </c>
      <c r="E90" t="str">
        <f t="shared" si="10"/>
        <v>March</v>
      </c>
      <c r="F90">
        <f t="shared" si="11"/>
        <v>2024</v>
      </c>
      <c r="G90" s="2">
        <v>45377</v>
      </c>
      <c r="H90" t="s">
        <v>541</v>
      </c>
      <c r="I90">
        <f t="shared" si="12"/>
        <v>2</v>
      </c>
      <c r="J90" t="s">
        <v>2795</v>
      </c>
      <c r="K90" t="s">
        <v>114</v>
      </c>
      <c r="L90" t="s">
        <v>24</v>
      </c>
      <c r="M90" t="s">
        <v>63</v>
      </c>
      <c r="N90" t="s">
        <v>180</v>
      </c>
      <c r="O90" t="s">
        <v>181</v>
      </c>
      <c r="P90" t="s">
        <v>28</v>
      </c>
      <c r="Q90" t="s">
        <v>29</v>
      </c>
      <c r="R90" t="s">
        <v>542</v>
      </c>
      <c r="S90" t="s">
        <v>31</v>
      </c>
      <c r="T90">
        <v>1</v>
      </c>
      <c r="U90">
        <v>3409.5</v>
      </c>
      <c r="V90">
        <v>0.1</v>
      </c>
      <c r="W90">
        <v>0.1</v>
      </c>
      <c r="X90">
        <v>3068.55</v>
      </c>
      <c r="Y90">
        <f t="shared" si="8"/>
        <v>3068.55</v>
      </c>
      <c r="Z90">
        <v>1916.16</v>
      </c>
      <c r="AA90">
        <v>1152.3900000000001</v>
      </c>
      <c r="AB90">
        <f t="shared" si="13"/>
        <v>1152.3900000000001</v>
      </c>
      <c r="AC90" s="8">
        <f t="shared" si="14"/>
        <v>0.3755487119323459</v>
      </c>
      <c r="AD90" t="s">
        <v>32</v>
      </c>
      <c r="AE90" t="s">
        <v>103</v>
      </c>
      <c r="AF90" t="str">
        <f t="shared" si="15"/>
        <v>Perfect Match</v>
      </c>
    </row>
    <row r="91" spans="1:32">
      <c r="A91" s="6" t="str">
        <f>IF(OR(I91&lt;0, ISTEXT(W91), ISTEXT(Y91)), "Invalid", IF(OR(B91="Conflicting Duplicate", M91="Unknown", S91="Unknown"), "Warning", "Valid"))</f>
        <v>Invalid</v>
      </c>
      <c r="B91" t="str">
        <f t="shared" si="9"/>
        <v>-</v>
      </c>
      <c r="C91" t="s">
        <v>543</v>
      </c>
      <c r="D91" s="2">
        <v>45479</v>
      </c>
      <c r="E91" t="str">
        <f t="shared" si="10"/>
        <v>July</v>
      </c>
      <c r="F91">
        <f t="shared" si="11"/>
        <v>2024</v>
      </c>
      <c r="G91" s="2">
        <v>45458</v>
      </c>
      <c r="H91" t="s">
        <v>544</v>
      </c>
      <c r="I91" s="7">
        <f t="shared" si="12"/>
        <v>-21</v>
      </c>
      <c r="J91" s="7" t="s">
        <v>2802</v>
      </c>
      <c r="K91" t="s">
        <v>264</v>
      </c>
      <c r="L91" t="s">
        <v>37</v>
      </c>
      <c r="M91" t="s">
        <v>54</v>
      </c>
      <c r="N91" t="s">
        <v>55</v>
      </c>
      <c r="O91" t="s">
        <v>56</v>
      </c>
      <c r="P91" t="s">
        <v>74</v>
      </c>
      <c r="Q91" t="s">
        <v>75</v>
      </c>
      <c r="R91" t="s">
        <v>545</v>
      </c>
      <c r="S91" t="s">
        <v>50</v>
      </c>
      <c r="T91">
        <v>7</v>
      </c>
      <c r="U91">
        <v>2147.9899999999998</v>
      </c>
      <c r="V91">
        <v>0.25</v>
      </c>
      <c r="W91">
        <v>0.25</v>
      </c>
      <c r="X91">
        <v>11276.95</v>
      </c>
      <c r="Y91">
        <f t="shared" si="8"/>
        <v>11276.95</v>
      </c>
      <c r="Z91">
        <v>6908.76</v>
      </c>
      <c r="AA91">
        <v>4368.1899999999996</v>
      </c>
      <c r="AB91">
        <f t="shared" si="13"/>
        <v>4368.1900000000005</v>
      </c>
      <c r="AC91" s="8">
        <f t="shared" si="14"/>
        <v>0.38735562363937059</v>
      </c>
      <c r="AD91" t="s">
        <v>102</v>
      </c>
      <c r="AE91" t="s">
        <v>103</v>
      </c>
      <c r="AF91" t="str">
        <f t="shared" si="15"/>
        <v>Perfect Match</v>
      </c>
    </row>
    <row r="92" spans="1:32">
      <c r="A92" t="str">
        <f>IF(OR(I92&lt;0, ISTEXT(W92), ISTEXT(Y92)), "Invalid", IF(OR(B92="Conflicting Duplicate", M92="Unknown", S92="Unknown"), "Warning", "Valid"))</f>
        <v>Valid</v>
      </c>
      <c r="B92" t="str">
        <f t="shared" si="9"/>
        <v>-</v>
      </c>
      <c r="C92" t="s">
        <v>552</v>
      </c>
      <c r="D92" s="2">
        <v>45649</v>
      </c>
      <c r="E92" t="str">
        <f t="shared" si="10"/>
        <v>December</v>
      </c>
      <c r="F92">
        <f t="shared" si="11"/>
        <v>2024</v>
      </c>
      <c r="G92" s="2">
        <v>45656</v>
      </c>
      <c r="H92" t="s">
        <v>553</v>
      </c>
      <c r="I92">
        <f t="shared" si="12"/>
        <v>7</v>
      </c>
      <c r="J92" t="s">
        <v>2795</v>
      </c>
      <c r="K92" t="s">
        <v>114</v>
      </c>
      <c r="L92" t="s">
        <v>95</v>
      </c>
      <c r="M92" t="s">
        <v>63</v>
      </c>
      <c r="N92" t="s">
        <v>190</v>
      </c>
      <c r="O92" t="s">
        <v>191</v>
      </c>
      <c r="P92" t="s">
        <v>41</v>
      </c>
      <c r="Q92" t="s">
        <v>57</v>
      </c>
      <c r="R92" t="s">
        <v>554</v>
      </c>
      <c r="S92" t="s">
        <v>50</v>
      </c>
      <c r="T92">
        <v>8</v>
      </c>
      <c r="U92">
        <v>386.1</v>
      </c>
      <c r="V92">
        <v>0.1</v>
      </c>
      <c r="W92">
        <v>0.1</v>
      </c>
      <c r="X92">
        <v>2779.92</v>
      </c>
      <c r="Y92">
        <f t="shared" si="8"/>
        <v>2779.92</v>
      </c>
      <c r="Z92">
        <v>1744.05</v>
      </c>
      <c r="AA92">
        <v>1035.8699999999999</v>
      </c>
      <c r="AB92">
        <f t="shared" si="13"/>
        <v>1035.8700000000001</v>
      </c>
      <c r="AC92" s="8">
        <f t="shared" si="14"/>
        <v>0.37262583095916435</v>
      </c>
      <c r="AD92" t="s">
        <v>32</v>
      </c>
      <c r="AE92" t="s">
        <v>33</v>
      </c>
      <c r="AF92" t="str">
        <f t="shared" si="15"/>
        <v>Perfect Match</v>
      </c>
    </row>
    <row r="93" spans="1:32">
      <c r="A93" t="str">
        <f>IF(OR(I93&lt;0, ISTEXT(W93), ISTEXT(Y93)), "Invalid", IF(OR(B93="Conflicting Duplicate", M93="Unknown", S93="Unknown"), "Warning", "Valid"))</f>
        <v>Valid</v>
      </c>
      <c r="B93" t="str">
        <f t="shared" si="9"/>
        <v>-</v>
      </c>
      <c r="C93" t="s">
        <v>558</v>
      </c>
      <c r="D93" s="2">
        <v>45321</v>
      </c>
      <c r="E93" t="str">
        <f t="shared" si="10"/>
        <v>January</v>
      </c>
      <c r="F93">
        <f t="shared" si="11"/>
        <v>2024</v>
      </c>
      <c r="G93" s="2">
        <v>45321</v>
      </c>
      <c r="H93" t="s">
        <v>559</v>
      </c>
      <c r="I93">
        <f t="shared" si="12"/>
        <v>0</v>
      </c>
      <c r="J93" t="s">
        <v>2795</v>
      </c>
      <c r="K93" t="s">
        <v>128</v>
      </c>
      <c r="L93" t="s">
        <v>37</v>
      </c>
      <c r="M93" t="s">
        <v>560</v>
      </c>
      <c r="N93" t="s">
        <v>26</v>
      </c>
      <c r="O93" t="s">
        <v>109</v>
      </c>
      <c r="P93" t="s">
        <v>74</v>
      </c>
      <c r="Q93" t="s">
        <v>80</v>
      </c>
      <c r="R93" t="s">
        <v>561</v>
      </c>
      <c r="S93" t="s">
        <v>44</v>
      </c>
      <c r="T93">
        <v>7</v>
      </c>
      <c r="U93">
        <v>2527.61</v>
      </c>
      <c r="V93">
        <v>0.25</v>
      </c>
      <c r="W93">
        <v>0.25</v>
      </c>
      <c r="X93">
        <v>13269.95</v>
      </c>
      <c r="Y93">
        <f t="shared" si="8"/>
        <v>13269.95</v>
      </c>
      <c r="Z93">
        <v>8977.1</v>
      </c>
      <c r="AA93">
        <v>4292.8500000000004</v>
      </c>
      <c r="AB93">
        <f t="shared" si="13"/>
        <v>4292.8500000000004</v>
      </c>
      <c r="AC93" s="8">
        <f t="shared" si="14"/>
        <v>0.32350159571060932</v>
      </c>
      <c r="AD93" t="s">
        <v>32</v>
      </c>
      <c r="AE93" t="s">
        <v>33</v>
      </c>
      <c r="AF93" t="str">
        <f t="shared" si="15"/>
        <v>Perfect Match</v>
      </c>
    </row>
    <row r="94" spans="1:32">
      <c r="A94" s="6" t="str">
        <f>IF(OR(I94&lt;0, ISTEXT(W94), ISTEXT(Y94)), "Invalid", IF(OR(B94="Conflicting Duplicate", M94="Unknown", S94="Unknown"), "Warning", "Valid"))</f>
        <v>Invalid</v>
      </c>
      <c r="B94" t="str">
        <f t="shared" si="9"/>
        <v>-</v>
      </c>
      <c r="C94" t="s">
        <v>562</v>
      </c>
      <c r="D94" s="2">
        <v>45385</v>
      </c>
      <c r="E94" t="str">
        <f t="shared" si="10"/>
        <v>April</v>
      </c>
      <c r="F94">
        <f t="shared" si="11"/>
        <v>2024</v>
      </c>
      <c r="G94" s="2">
        <v>45363</v>
      </c>
      <c r="H94" t="s">
        <v>563</v>
      </c>
      <c r="I94" s="7">
        <f t="shared" si="12"/>
        <v>-22</v>
      </c>
      <c r="J94" s="7" t="s">
        <v>2802</v>
      </c>
      <c r="K94" t="s">
        <v>53</v>
      </c>
      <c r="L94" t="s">
        <v>24</v>
      </c>
      <c r="M94" s="4" t="s">
        <v>2790</v>
      </c>
      <c r="N94" t="s">
        <v>180</v>
      </c>
      <c r="O94" t="s">
        <v>181</v>
      </c>
      <c r="P94" t="s">
        <v>41</v>
      </c>
      <c r="Q94" t="s">
        <v>158</v>
      </c>
      <c r="R94" t="s">
        <v>564</v>
      </c>
      <c r="S94" t="s">
        <v>50</v>
      </c>
      <c r="T94">
        <v>1</v>
      </c>
      <c r="U94">
        <v>1554.12</v>
      </c>
      <c r="V94">
        <v>0.1</v>
      </c>
      <c r="W94">
        <v>0.1</v>
      </c>
      <c r="X94">
        <v>1398.71</v>
      </c>
      <c r="Y94">
        <f t="shared" si="8"/>
        <v>1398.71</v>
      </c>
      <c r="Z94">
        <v>1056.92</v>
      </c>
      <c r="AA94">
        <v>341.79</v>
      </c>
      <c r="AB94">
        <f t="shared" si="13"/>
        <v>341.78999999999996</v>
      </c>
      <c r="AC94" s="8">
        <f t="shared" si="14"/>
        <v>0.24436087537802686</v>
      </c>
      <c r="AD94" t="s">
        <v>32</v>
      </c>
      <c r="AE94" t="s">
        <v>33</v>
      </c>
      <c r="AF94" t="str">
        <f t="shared" si="15"/>
        <v>Perfect Match</v>
      </c>
    </row>
    <row r="95" spans="1:32">
      <c r="A95" s="6" t="str">
        <f>IF(OR(I95&lt;0, ISTEXT(W95), ISTEXT(Y95)), "Invalid", IF(OR(B95="Conflicting Duplicate", M95="Unknown", S95="Unknown"), "Warning", "Valid"))</f>
        <v>Warning</v>
      </c>
      <c r="B95" t="str">
        <f t="shared" si="9"/>
        <v>-</v>
      </c>
      <c r="C95" t="s">
        <v>565</v>
      </c>
      <c r="D95" s="2">
        <v>45470</v>
      </c>
      <c r="E95" t="str">
        <f t="shared" si="10"/>
        <v>June</v>
      </c>
      <c r="F95">
        <f t="shared" si="11"/>
        <v>2024</v>
      </c>
      <c r="G95" s="2">
        <v>45470</v>
      </c>
      <c r="H95" t="s">
        <v>566</v>
      </c>
      <c r="I95">
        <f t="shared" si="12"/>
        <v>0</v>
      </c>
      <c r="J95" t="s">
        <v>2795</v>
      </c>
      <c r="K95" t="s">
        <v>79</v>
      </c>
      <c r="L95" t="s">
        <v>95</v>
      </c>
      <c r="M95" s="4" t="s">
        <v>2790</v>
      </c>
      <c r="N95" t="s">
        <v>72</v>
      </c>
      <c r="O95" t="s">
        <v>73</v>
      </c>
      <c r="P95" t="s">
        <v>74</v>
      </c>
      <c r="Q95" t="s">
        <v>80</v>
      </c>
      <c r="R95" t="s">
        <v>567</v>
      </c>
      <c r="S95" t="s">
        <v>59</v>
      </c>
      <c r="T95">
        <v>2</v>
      </c>
      <c r="U95">
        <v>3859.11</v>
      </c>
      <c r="V95">
        <v>0</v>
      </c>
      <c r="W95">
        <v>0</v>
      </c>
      <c r="X95">
        <v>7718.22</v>
      </c>
      <c r="Y95">
        <f t="shared" si="8"/>
        <v>7718.22</v>
      </c>
      <c r="Z95">
        <v>5355.93</v>
      </c>
      <c r="AA95">
        <v>2362.29</v>
      </c>
      <c r="AB95">
        <f t="shared" si="13"/>
        <v>2362.29</v>
      </c>
      <c r="AC95" s="8">
        <f t="shared" si="14"/>
        <v>0.30606668376905555</v>
      </c>
      <c r="AD95" t="s">
        <v>111</v>
      </c>
      <c r="AE95" t="s">
        <v>103</v>
      </c>
      <c r="AF95" t="str">
        <f t="shared" si="15"/>
        <v>Perfect Match</v>
      </c>
    </row>
    <row r="96" spans="1:32">
      <c r="A96" t="str">
        <f>IF(OR(I96&lt;0, ISTEXT(W96), ISTEXT(Y96)), "Invalid", IF(OR(B96="Conflicting Duplicate", M96="Unknown", S96="Unknown"), "Warning", "Valid"))</f>
        <v>Valid</v>
      </c>
      <c r="B96" t="str">
        <f t="shared" si="9"/>
        <v>-</v>
      </c>
      <c r="C96" t="s">
        <v>568</v>
      </c>
      <c r="D96" s="2">
        <v>45457</v>
      </c>
      <c r="E96" t="str">
        <f t="shared" si="10"/>
        <v>June</v>
      </c>
      <c r="F96">
        <f t="shared" si="11"/>
        <v>2024</v>
      </c>
      <c r="G96" s="2">
        <v>45460</v>
      </c>
      <c r="H96" t="s">
        <v>569</v>
      </c>
      <c r="I96">
        <f t="shared" si="12"/>
        <v>3</v>
      </c>
      <c r="J96" t="s">
        <v>2795</v>
      </c>
      <c r="K96" t="s">
        <v>264</v>
      </c>
      <c r="L96" t="s">
        <v>37</v>
      </c>
      <c r="M96" t="s">
        <v>54</v>
      </c>
      <c r="N96" t="s">
        <v>185</v>
      </c>
      <c r="O96" t="s">
        <v>186</v>
      </c>
      <c r="P96" t="s">
        <v>41</v>
      </c>
      <c r="Q96" t="s">
        <v>42</v>
      </c>
      <c r="R96" t="s">
        <v>570</v>
      </c>
      <c r="S96" t="s">
        <v>31</v>
      </c>
      <c r="T96">
        <v>6</v>
      </c>
      <c r="U96">
        <v>1088.04</v>
      </c>
      <c r="V96">
        <v>0.1</v>
      </c>
      <c r="W96">
        <v>0.1</v>
      </c>
      <c r="X96">
        <v>5875.42</v>
      </c>
      <c r="Y96">
        <f t="shared" si="8"/>
        <v>5875.42</v>
      </c>
      <c r="Z96">
        <v>4380.55</v>
      </c>
      <c r="AA96">
        <v>1494.87</v>
      </c>
      <c r="AB96">
        <f t="shared" si="13"/>
        <v>1494.87</v>
      </c>
      <c r="AC96" s="8">
        <f t="shared" si="14"/>
        <v>0.25442776856803428</v>
      </c>
      <c r="AD96" t="s">
        <v>111</v>
      </c>
      <c r="AE96" t="s">
        <v>103</v>
      </c>
      <c r="AF96" t="str">
        <f t="shared" si="15"/>
        <v>Perfect Match</v>
      </c>
    </row>
    <row r="97" spans="1:32">
      <c r="A97" s="6" t="str">
        <f>IF(OR(I97&lt;0, ISTEXT(W97), ISTEXT(Y97)), "Invalid", IF(OR(B97="Conflicting Duplicate", M97="Unknown", S97="Unknown"), "Warning", "Valid"))</f>
        <v>Invalid</v>
      </c>
      <c r="B97" t="str">
        <f t="shared" si="9"/>
        <v>-</v>
      </c>
      <c r="C97" t="s">
        <v>574</v>
      </c>
      <c r="D97" s="2">
        <v>45334</v>
      </c>
      <c r="E97" t="str">
        <f t="shared" si="10"/>
        <v>February</v>
      </c>
      <c r="F97">
        <f t="shared" si="11"/>
        <v>2024</v>
      </c>
      <c r="G97" s="2">
        <v>45333</v>
      </c>
      <c r="H97" t="s">
        <v>455</v>
      </c>
      <c r="I97" s="7">
        <f t="shared" si="12"/>
        <v>-1</v>
      </c>
      <c r="J97" s="7" t="s">
        <v>2802</v>
      </c>
      <c r="K97" t="s">
        <v>114</v>
      </c>
      <c r="L97" t="s">
        <v>24</v>
      </c>
      <c r="M97" t="s">
        <v>54</v>
      </c>
      <c r="N97" t="s">
        <v>247</v>
      </c>
      <c r="O97" t="s">
        <v>248</v>
      </c>
      <c r="P97" t="s">
        <v>41</v>
      </c>
      <c r="Q97" t="s">
        <v>158</v>
      </c>
      <c r="R97" t="s">
        <v>575</v>
      </c>
      <c r="S97" t="s">
        <v>44</v>
      </c>
      <c r="T97">
        <v>1</v>
      </c>
      <c r="U97">
        <v>2599.12</v>
      </c>
      <c r="V97">
        <v>0.15</v>
      </c>
      <c r="W97">
        <v>0.15</v>
      </c>
      <c r="X97">
        <v>2209.25</v>
      </c>
      <c r="Y97">
        <f t="shared" si="8"/>
        <v>2209.25</v>
      </c>
      <c r="Z97">
        <v>1523.78</v>
      </c>
      <c r="AA97">
        <v>685.47</v>
      </c>
      <c r="AB97">
        <f t="shared" si="13"/>
        <v>685.47</v>
      </c>
      <c r="AC97" s="8">
        <f t="shared" si="14"/>
        <v>0.31027271698540232</v>
      </c>
      <c r="AD97" t="s">
        <v>32</v>
      </c>
      <c r="AE97" t="s">
        <v>33</v>
      </c>
      <c r="AF97" t="str">
        <f t="shared" si="15"/>
        <v>Perfect Match</v>
      </c>
    </row>
    <row r="98" spans="1:32">
      <c r="A98" t="str">
        <f>IF(OR(I98&lt;0, ISTEXT(W98), ISTEXT(Y98)), "Invalid", IF(OR(B98="Conflicting Duplicate", M98="Unknown", S98="Unknown"), "Warning", "Valid"))</f>
        <v>Valid</v>
      </c>
      <c r="B98" t="str">
        <f t="shared" si="9"/>
        <v>-</v>
      </c>
      <c r="C98" t="s">
        <v>582</v>
      </c>
      <c r="D98" s="2">
        <v>45587</v>
      </c>
      <c r="E98" t="str">
        <f t="shared" si="10"/>
        <v>October</v>
      </c>
      <c r="F98">
        <f t="shared" si="11"/>
        <v>2024</v>
      </c>
      <c r="G98" s="2">
        <v>45589</v>
      </c>
      <c r="H98" t="s">
        <v>583</v>
      </c>
      <c r="I98">
        <f t="shared" si="12"/>
        <v>2</v>
      </c>
      <c r="J98" t="s">
        <v>2795</v>
      </c>
      <c r="K98" t="s">
        <v>141</v>
      </c>
      <c r="L98" t="s">
        <v>37</v>
      </c>
      <c r="M98" t="s">
        <v>54</v>
      </c>
      <c r="N98" t="s">
        <v>84</v>
      </c>
      <c r="O98" t="s">
        <v>85</v>
      </c>
      <c r="P98" t="s">
        <v>41</v>
      </c>
      <c r="Q98" t="s">
        <v>158</v>
      </c>
      <c r="R98" t="s">
        <v>584</v>
      </c>
      <c r="S98" t="s">
        <v>59</v>
      </c>
      <c r="T98">
        <v>3</v>
      </c>
      <c r="U98">
        <v>915.84</v>
      </c>
      <c r="V98">
        <v>0.15</v>
      </c>
      <c r="W98">
        <v>0.15</v>
      </c>
      <c r="X98">
        <v>2335.39</v>
      </c>
      <c r="Y98">
        <f t="shared" si="8"/>
        <v>2335.39</v>
      </c>
      <c r="Z98">
        <v>1466.15</v>
      </c>
      <c r="AA98">
        <v>869.24</v>
      </c>
      <c r="AB98">
        <f t="shared" si="13"/>
        <v>869.23999999999978</v>
      </c>
      <c r="AC98" s="8">
        <f t="shared" si="14"/>
        <v>0.37220335789739606</v>
      </c>
      <c r="AD98" t="s">
        <v>32</v>
      </c>
      <c r="AE98" t="s">
        <v>33</v>
      </c>
      <c r="AF98" t="str">
        <f t="shared" si="15"/>
        <v>Perfect Match</v>
      </c>
    </row>
    <row r="99" spans="1:32">
      <c r="A99" t="str">
        <f>IF(OR(I99&lt;0, ISTEXT(W99), ISTEXT(Y99)), "Invalid", IF(OR(B99="Conflicting Duplicate", M99="Unknown", S99="Unknown"), "Warning", "Valid"))</f>
        <v>Valid</v>
      </c>
      <c r="B99" t="str">
        <f t="shared" si="9"/>
        <v>-</v>
      </c>
      <c r="C99" t="s">
        <v>585</v>
      </c>
      <c r="D99" s="2">
        <v>45544</v>
      </c>
      <c r="E99" t="str">
        <f t="shared" si="10"/>
        <v>September</v>
      </c>
      <c r="F99">
        <f t="shared" si="11"/>
        <v>2024</v>
      </c>
      <c r="G99" s="2">
        <v>45546</v>
      </c>
      <c r="H99" t="s">
        <v>586</v>
      </c>
      <c r="I99">
        <f t="shared" si="12"/>
        <v>2</v>
      </c>
      <c r="J99" t="s">
        <v>2795</v>
      </c>
      <c r="K99" t="s">
        <v>79</v>
      </c>
      <c r="L99" t="s">
        <v>95</v>
      </c>
      <c r="M99" t="s">
        <v>54</v>
      </c>
      <c r="N99" t="s">
        <v>55</v>
      </c>
      <c r="O99" t="s">
        <v>56</v>
      </c>
      <c r="P99" t="s">
        <v>41</v>
      </c>
      <c r="Q99" t="s">
        <v>158</v>
      </c>
      <c r="R99" t="s">
        <v>587</v>
      </c>
      <c r="S99" t="s">
        <v>50</v>
      </c>
      <c r="T99">
        <v>1</v>
      </c>
      <c r="U99">
        <v>4199.54</v>
      </c>
      <c r="V99">
        <v>0.05</v>
      </c>
      <c r="W99">
        <v>0.05</v>
      </c>
      <c r="X99">
        <v>3989.56</v>
      </c>
      <c r="Y99">
        <f t="shared" si="8"/>
        <v>3989.56</v>
      </c>
      <c r="Z99">
        <v>2381.38</v>
      </c>
      <c r="AA99">
        <v>1608.18</v>
      </c>
      <c r="AB99">
        <f t="shared" si="13"/>
        <v>1608.1799999999998</v>
      </c>
      <c r="AC99" s="8">
        <f t="shared" si="14"/>
        <v>0.40309708338764172</v>
      </c>
      <c r="AD99" t="s">
        <v>32</v>
      </c>
      <c r="AE99" t="s">
        <v>33</v>
      </c>
      <c r="AF99" t="str">
        <f t="shared" si="15"/>
        <v>Perfect Match</v>
      </c>
    </row>
    <row r="100" spans="1:32">
      <c r="A100" t="str">
        <f>IF(OR(I100&lt;0, ISTEXT(W100), ISTEXT(Y100)), "Invalid", IF(OR(B100="Conflicting Duplicate", M100="Unknown", S100="Unknown"), "Warning", "Valid"))</f>
        <v>Valid</v>
      </c>
      <c r="B100" t="str">
        <f t="shared" si="9"/>
        <v>-</v>
      </c>
      <c r="C100" t="s">
        <v>598</v>
      </c>
      <c r="D100" s="2">
        <v>45360</v>
      </c>
      <c r="E100" t="str">
        <f t="shared" si="10"/>
        <v>March</v>
      </c>
      <c r="F100">
        <f t="shared" si="11"/>
        <v>2024</v>
      </c>
      <c r="G100" s="2">
        <v>45365</v>
      </c>
      <c r="H100" t="s">
        <v>599</v>
      </c>
      <c r="I100">
        <f t="shared" si="12"/>
        <v>5</v>
      </c>
      <c r="J100" t="s">
        <v>2795</v>
      </c>
      <c r="K100" t="s">
        <v>79</v>
      </c>
      <c r="L100" t="s">
        <v>37</v>
      </c>
      <c r="M100" t="s">
        <v>63</v>
      </c>
      <c r="N100" t="s">
        <v>190</v>
      </c>
      <c r="O100" t="s">
        <v>191</v>
      </c>
      <c r="P100" t="s">
        <v>41</v>
      </c>
      <c r="Q100" t="s">
        <v>57</v>
      </c>
      <c r="R100" t="s">
        <v>600</v>
      </c>
      <c r="S100" t="s">
        <v>31</v>
      </c>
      <c r="T100">
        <v>8</v>
      </c>
      <c r="U100">
        <v>4472.84</v>
      </c>
      <c r="V100">
        <v>0</v>
      </c>
      <c r="W100">
        <v>0</v>
      </c>
      <c r="X100">
        <v>35997.620000000003</v>
      </c>
      <c r="Y100">
        <f t="shared" si="8"/>
        <v>35782.720000000001</v>
      </c>
      <c r="Z100">
        <v>26424.41</v>
      </c>
      <c r="AA100">
        <v>9358.31</v>
      </c>
      <c r="AB100">
        <f t="shared" si="13"/>
        <v>9358.3100000000013</v>
      </c>
      <c r="AC100" s="8">
        <f t="shared" si="14"/>
        <v>0.2615315437171909</v>
      </c>
      <c r="AD100" t="s">
        <v>111</v>
      </c>
      <c r="AE100" t="s">
        <v>103</v>
      </c>
      <c r="AF100" t="str">
        <f t="shared" si="15"/>
        <v>Mismatch Found</v>
      </c>
    </row>
    <row r="101" spans="1:32">
      <c r="A101" t="str">
        <f>IF(OR(I101&lt;0, ISTEXT(W101), ISTEXT(Y101)), "Invalid", IF(OR(B101="Conflicting Duplicate", M101="Unknown", S101="Unknown"), "Warning", "Valid"))</f>
        <v>Valid</v>
      </c>
      <c r="B101" t="str">
        <f t="shared" si="9"/>
        <v>-</v>
      </c>
      <c r="C101" t="s">
        <v>607</v>
      </c>
      <c r="D101" s="2">
        <v>45618</v>
      </c>
      <c r="E101" t="str">
        <f t="shared" si="10"/>
        <v>November</v>
      </c>
      <c r="F101">
        <f t="shared" si="11"/>
        <v>2024</v>
      </c>
      <c r="G101" s="2">
        <v>45625</v>
      </c>
      <c r="H101" t="s">
        <v>608</v>
      </c>
      <c r="I101">
        <f t="shared" si="12"/>
        <v>7</v>
      </c>
      <c r="J101" t="s">
        <v>2795</v>
      </c>
      <c r="K101" t="s">
        <v>36</v>
      </c>
      <c r="L101" t="s">
        <v>95</v>
      </c>
      <c r="M101" t="s">
        <v>38</v>
      </c>
      <c r="N101" t="s">
        <v>145</v>
      </c>
      <c r="O101" t="s">
        <v>146</v>
      </c>
      <c r="P101" t="s">
        <v>41</v>
      </c>
      <c r="Q101" t="s">
        <v>66</v>
      </c>
      <c r="R101" t="s">
        <v>609</v>
      </c>
      <c r="S101" t="s">
        <v>59</v>
      </c>
      <c r="T101">
        <v>4</v>
      </c>
      <c r="U101">
        <v>3422.99</v>
      </c>
      <c r="V101">
        <v>0.25</v>
      </c>
      <c r="W101">
        <v>0.25</v>
      </c>
      <c r="X101">
        <v>10268.969999999999</v>
      </c>
      <c r="Y101">
        <f t="shared" si="8"/>
        <v>10268.969999999999</v>
      </c>
      <c r="Z101">
        <v>6470.92</v>
      </c>
      <c r="AA101">
        <v>3798.05</v>
      </c>
      <c r="AB101">
        <f t="shared" si="13"/>
        <v>3798.0499999999993</v>
      </c>
      <c r="AC101" s="8">
        <f t="shared" si="14"/>
        <v>0.36985695741637181</v>
      </c>
      <c r="AD101" t="s">
        <v>32</v>
      </c>
      <c r="AE101" t="s">
        <v>33</v>
      </c>
      <c r="AF101" t="str">
        <f t="shared" si="15"/>
        <v>Perfect Match</v>
      </c>
    </row>
    <row r="102" spans="1:32">
      <c r="A102" t="str">
        <f>IF(OR(I102&lt;0, ISTEXT(W102), ISTEXT(Y102)), "Invalid", IF(OR(B102="Conflicting Duplicate", M102="Unknown", S102="Unknown"), "Warning", "Valid"))</f>
        <v>Valid</v>
      </c>
      <c r="B102" t="str">
        <f t="shared" si="9"/>
        <v>-</v>
      </c>
      <c r="C102" t="s">
        <v>632</v>
      </c>
      <c r="D102" s="2">
        <v>45327</v>
      </c>
      <c r="E102" t="str">
        <f t="shared" si="10"/>
        <v>February</v>
      </c>
      <c r="F102">
        <f t="shared" si="11"/>
        <v>2024</v>
      </c>
      <c r="G102" s="2">
        <v>45420</v>
      </c>
      <c r="H102" t="s">
        <v>633</v>
      </c>
      <c r="I102">
        <f t="shared" si="12"/>
        <v>93</v>
      </c>
      <c r="J102" t="s">
        <v>2795</v>
      </c>
      <c r="K102" t="s">
        <v>114</v>
      </c>
      <c r="L102" t="s">
        <v>95</v>
      </c>
      <c r="M102" t="s">
        <v>25</v>
      </c>
      <c r="N102" t="s">
        <v>122</v>
      </c>
      <c r="O102" t="s">
        <v>123</v>
      </c>
      <c r="P102" t="s">
        <v>74</v>
      </c>
      <c r="Q102" t="s">
        <v>80</v>
      </c>
      <c r="R102" t="s">
        <v>634</v>
      </c>
      <c r="S102" t="s">
        <v>31</v>
      </c>
      <c r="T102">
        <v>1</v>
      </c>
      <c r="U102">
        <v>2312.25</v>
      </c>
      <c r="V102">
        <v>0.25</v>
      </c>
      <c r="W102">
        <v>0.25</v>
      </c>
      <c r="X102">
        <v>1734.19</v>
      </c>
      <c r="Y102">
        <f t="shared" si="8"/>
        <v>1734.19</v>
      </c>
      <c r="Z102">
        <v>1386.07</v>
      </c>
      <c r="AA102">
        <v>348.12</v>
      </c>
      <c r="AB102">
        <f t="shared" si="13"/>
        <v>348.12000000000012</v>
      </c>
      <c r="AC102" s="8">
        <f t="shared" si="14"/>
        <v>0.20073925002450718</v>
      </c>
      <c r="AD102" t="s">
        <v>32</v>
      </c>
      <c r="AE102" t="s">
        <v>33</v>
      </c>
      <c r="AF102" t="str">
        <f t="shared" si="15"/>
        <v>Perfect Match</v>
      </c>
    </row>
    <row r="103" spans="1:32">
      <c r="A103" t="str">
        <f>IF(OR(I103&lt;0, ISTEXT(W103), ISTEXT(Y103)), "Invalid", IF(OR(B103="Conflicting Duplicate", M103="Unknown", S103="Unknown"), "Warning", "Valid"))</f>
        <v>Valid</v>
      </c>
      <c r="B103" t="str">
        <f t="shared" si="9"/>
        <v>-</v>
      </c>
      <c r="C103" t="s">
        <v>638</v>
      </c>
      <c r="D103" s="2">
        <v>45318</v>
      </c>
      <c r="E103" t="str">
        <f t="shared" si="10"/>
        <v>January</v>
      </c>
      <c r="F103">
        <f t="shared" si="11"/>
        <v>2024</v>
      </c>
      <c r="G103" s="2">
        <v>45325</v>
      </c>
      <c r="H103" t="s">
        <v>639</v>
      </c>
      <c r="I103">
        <f t="shared" si="12"/>
        <v>7</v>
      </c>
      <c r="J103" t="s">
        <v>2795</v>
      </c>
      <c r="K103" t="s">
        <v>53</v>
      </c>
      <c r="L103" t="s">
        <v>37</v>
      </c>
      <c r="M103" t="s">
        <v>38</v>
      </c>
      <c r="N103" t="s">
        <v>145</v>
      </c>
      <c r="O103" t="s">
        <v>146</v>
      </c>
      <c r="P103" t="s">
        <v>74</v>
      </c>
      <c r="Q103" t="s">
        <v>274</v>
      </c>
      <c r="R103" t="s">
        <v>640</v>
      </c>
      <c r="S103" t="s">
        <v>44</v>
      </c>
      <c r="T103">
        <v>7</v>
      </c>
      <c r="U103">
        <v>2673.42</v>
      </c>
      <c r="V103">
        <v>0.15</v>
      </c>
      <c r="W103">
        <v>0.15</v>
      </c>
      <c r="X103">
        <v>15906.85</v>
      </c>
      <c r="Y103">
        <f t="shared" si="8"/>
        <v>15906.85</v>
      </c>
      <c r="Z103">
        <v>11014.46</v>
      </c>
      <c r="AA103">
        <v>4892.3900000000003</v>
      </c>
      <c r="AB103">
        <f t="shared" si="13"/>
        <v>4892.3900000000012</v>
      </c>
      <c r="AC103" s="8">
        <f t="shared" si="14"/>
        <v>0.30756497986716419</v>
      </c>
      <c r="AD103" t="s">
        <v>32</v>
      </c>
      <c r="AE103" t="s">
        <v>103</v>
      </c>
      <c r="AF103" t="str">
        <f t="shared" si="15"/>
        <v>Perfect Match</v>
      </c>
    </row>
    <row r="104" spans="1:32">
      <c r="A104" s="6" t="str">
        <f>IF(OR(I104&lt;0, ISTEXT(W104), ISTEXT(Y104)), "Invalid", IF(OR(B104="Conflicting Duplicate", M104="Unknown", S104="Unknown"), "Warning", "Valid"))</f>
        <v>Warning</v>
      </c>
      <c r="B104" t="str">
        <f t="shared" si="9"/>
        <v>-</v>
      </c>
      <c r="C104" t="s">
        <v>644</v>
      </c>
      <c r="D104" s="2">
        <v>45297</v>
      </c>
      <c r="E104" t="str">
        <f t="shared" si="10"/>
        <v>January</v>
      </c>
      <c r="F104">
        <f t="shared" si="11"/>
        <v>2024</v>
      </c>
      <c r="G104" s="2">
        <v>45446</v>
      </c>
      <c r="H104" t="s">
        <v>645</v>
      </c>
      <c r="I104">
        <f t="shared" si="12"/>
        <v>149</v>
      </c>
      <c r="J104" t="s">
        <v>2795</v>
      </c>
      <c r="K104" t="s">
        <v>132</v>
      </c>
      <c r="L104" t="s">
        <v>95</v>
      </c>
      <c r="M104" s="4" t="s">
        <v>2790</v>
      </c>
      <c r="N104" t="s">
        <v>145</v>
      </c>
      <c r="O104" t="s">
        <v>146</v>
      </c>
      <c r="P104" t="s">
        <v>28</v>
      </c>
      <c r="Q104" t="s">
        <v>48</v>
      </c>
      <c r="R104" t="s">
        <v>646</v>
      </c>
      <c r="S104" t="s">
        <v>44</v>
      </c>
      <c r="T104">
        <v>8</v>
      </c>
      <c r="U104">
        <v>3879.95</v>
      </c>
      <c r="V104">
        <v>0</v>
      </c>
      <c r="W104">
        <v>0</v>
      </c>
      <c r="X104">
        <v>31039.599999999999</v>
      </c>
      <c r="Y104">
        <f t="shared" si="8"/>
        <v>31039.599999999999</v>
      </c>
      <c r="Z104">
        <v>20866.72</v>
      </c>
      <c r="AA104">
        <v>10172.879999999999</v>
      </c>
      <c r="AB104">
        <f t="shared" si="13"/>
        <v>10172.879999999997</v>
      </c>
      <c r="AC104" s="8">
        <f t="shared" si="14"/>
        <v>0.32773875952009685</v>
      </c>
      <c r="AD104" t="s">
        <v>32</v>
      </c>
      <c r="AE104" t="s">
        <v>33</v>
      </c>
      <c r="AF104" t="str">
        <f t="shared" si="15"/>
        <v>Perfect Match</v>
      </c>
    </row>
    <row r="105" spans="1:32">
      <c r="A105" t="str">
        <f>IF(OR(I105&lt;0, ISTEXT(W105), ISTEXT(Y105)), "Invalid", IF(OR(B105="Conflicting Duplicate", M105="Unknown", S105="Unknown"), "Warning", "Valid"))</f>
        <v>Valid</v>
      </c>
      <c r="B105" t="str">
        <f t="shared" si="9"/>
        <v>-</v>
      </c>
      <c r="C105" t="s">
        <v>647</v>
      </c>
      <c r="D105" s="2">
        <v>45565</v>
      </c>
      <c r="E105" t="str">
        <f t="shared" si="10"/>
        <v>September</v>
      </c>
      <c r="F105">
        <f t="shared" si="11"/>
        <v>2024</v>
      </c>
      <c r="G105" s="2">
        <v>45565</v>
      </c>
      <c r="H105" t="s">
        <v>648</v>
      </c>
      <c r="I105">
        <f t="shared" si="12"/>
        <v>0</v>
      </c>
      <c r="J105" t="s">
        <v>2795</v>
      </c>
      <c r="K105" t="s">
        <v>47</v>
      </c>
      <c r="L105" t="s">
        <v>90</v>
      </c>
      <c r="M105" t="s">
        <v>54</v>
      </c>
      <c r="N105" t="s">
        <v>55</v>
      </c>
      <c r="O105" t="s">
        <v>56</v>
      </c>
      <c r="P105" t="s">
        <v>28</v>
      </c>
      <c r="Q105" t="s">
        <v>48</v>
      </c>
      <c r="R105" t="s">
        <v>649</v>
      </c>
      <c r="S105" t="s">
        <v>59</v>
      </c>
      <c r="T105">
        <v>4</v>
      </c>
      <c r="U105">
        <v>3281.74</v>
      </c>
      <c r="V105">
        <v>0</v>
      </c>
      <c r="W105">
        <v>0</v>
      </c>
      <c r="X105">
        <v>13126.96</v>
      </c>
      <c r="Y105">
        <f t="shared" si="8"/>
        <v>13126.96</v>
      </c>
      <c r="Z105">
        <v>10732.44</v>
      </c>
      <c r="AA105">
        <v>2394.52</v>
      </c>
      <c r="AB105">
        <f t="shared" si="13"/>
        <v>2394.5199999999986</v>
      </c>
      <c r="AC105" s="8">
        <f t="shared" si="14"/>
        <v>0.18241237879905162</v>
      </c>
      <c r="AD105" t="s">
        <v>32</v>
      </c>
      <c r="AE105" t="s">
        <v>33</v>
      </c>
      <c r="AF105" t="str">
        <f t="shared" si="15"/>
        <v>Perfect Match</v>
      </c>
    </row>
    <row r="106" spans="1:32">
      <c r="A106" t="str">
        <f>IF(OR(I106&lt;0, ISTEXT(W106), ISTEXT(Y106)), "Invalid", IF(OR(B106="Conflicting Duplicate", M106="Unknown", S106="Unknown"), "Warning", "Valid"))</f>
        <v>Valid</v>
      </c>
      <c r="B106" t="str">
        <f t="shared" si="9"/>
        <v>-</v>
      </c>
      <c r="C106" t="s">
        <v>650</v>
      </c>
      <c r="D106" s="2">
        <v>45366</v>
      </c>
      <c r="E106" t="str">
        <f t="shared" si="10"/>
        <v>March</v>
      </c>
      <c r="F106">
        <f t="shared" si="11"/>
        <v>2024</v>
      </c>
      <c r="G106" s="2">
        <v>45370</v>
      </c>
      <c r="H106" t="s">
        <v>651</v>
      </c>
      <c r="I106">
        <f t="shared" si="12"/>
        <v>4</v>
      </c>
      <c r="J106" t="s">
        <v>2795</v>
      </c>
      <c r="K106" t="s">
        <v>62</v>
      </c>
      <c r="L106" t="s">
        <v>37</v>
      </c>
      <c r="M106" t="s">
        <v>54</v>
      </c>
      <c r="N106" t="s">
        <v>247</v>
      </c>
      <c r="O106" t="s">
        <v>248</v>
      </c>
      <c r="P106" t="s">
        <v>41</v>
      </c>
      <c r="Q106" t="s">
        <v>57</v>
      </c>
      <c r="R106" t="s">
        <v>652</v>
      </c>
      <c r="S106" t="s">
        <v>59</v>
      </c>
      <c r="T106">
        <v>4</v>
      </c>
      <c r="U106">
        <v>3186.3</v>
      </c>
      <c r="V106">
        <v>0.25</v>
      </c>
      <c r="W106">
        <v>0.25</v>
      </c>
      <c r="X106">
        <v>9558.9</v>
      </c>
      <c r="Y106">
        <f t="shared" si="8"/>
        <v>9558.9</v>
      </c>
      <c r="Z106">
        <v>5516.76</v>
      </c>
      <c r="AA106">
        <v>4042.14</v>
      </c>
      <c r="AB106">
        <f t="shared" si="13"/>
        <v>4042.1399999999994</v>
      </c>
      <c r="AC106" s="8">
        <f t="shared" si="14"/>
        <v>0.42286664783604805</v>
      </c>
      <c r="AD106" t="s">
        <v>102</v>
      </c>
      <c r="AE106" t="s">
        <v>103</v>
      </c>
      <c r="AF106" t="str">
        <f t="shared" si="15"/>
        <v>Perfect Match</v>
      </c>
    </row>
    <row r="107" spans="1:32">
      <c r="A107" t="str">
        <f>IF(OR(I107&lt;0, ISTEXT(W107), ISTEXT(Y107)), "Invalid", IF(OR(B107="Conflicting Duplicate", M107="Unknown", S107="Unknown"), "Warning", "Valid"))</f>
        <v>Valid</v>
      </c>
      <c r="B107" t="str">
        <f t="shared" si="9"/>
        <v>-</v>
      </c>
      <c r="C107" t="s">
        <v>653</v>
      </c>
      <c r="D107" s="2">
        <v>45530</v>
      </c>
      <c r="E107" t="str">
        <f t="shared" si="10"/>
        <v>August</v>
      </c>
      <c r="F107">
        <f t="shared" si="11"/>
        <v>2024</v>
      </c>
      <c r="G107" s="2">
        <v>45530</v>
      </c>
      <c r="H107" t="s">
        <v>654</v>
      </c>
      <c r="I107">
        <f t="shared" si="12"/>
        <v>0</v>
      </c>
      <c r="J107" t="s">
        <v>2795</v>
      </c>
      <c r="K107" t="s">
        <v>36</v>
      </c>
      <c r="L107" t="s">
        <v>95</v>
      </c>
      <c r="M107" t="s">
        <v>25</v>
      </c>
      <c r="N107" t="s">
        <v>136</v>
      </c>
      <c r="O107" t="s">
        <v>137</v>
      </c>
      <c r="P107" t="s">
        <v>612</v>
      </c>
      <c r="Q107" t="s">
        <v>153</v>
      </c>
      <c r="R107" t="s">
        <v>655</v>
      </c>
      <c r="S107" t="s">
        <v>50</v>
      </c>
      <c r="T107">
        <v>7</v>
      </c>
      <c r="U107">
        <v>844.59</v>
      </c>
      <c r="V107">
        <v>0.1</v>
      </c>
      <c r="W107">
        <v>0.1</v>
      </c>
      <c r="X107">
        <v>5320.92</v>
      </c>
      <c r="Y107">
        <f t="shared" si="8"/>
        <v>5320.92</v>
      </c>
      <c r="Z107">
        <v>3041.5</v>
      </c>
      <c r="AA107">
        <v>2279.42</v>
      </c>
      <c r="AB107">
        <f t="shared" si="13"/>
        <v>2279.42</v>
      </c>
      <c r="AC107" s="8">
        <f t="shared" si="14"/>
        <v>0.42838832382369968</v>
      </c>
      <c r="AD107" t="s">
        <v>32</v>
      </c>
      <c r="AE107" t="s">
        <v>33</v>
      </c>
      <c r="AF107" t="str">
        <f t="shared" si="15"/>
        <v>Perfect Match</v>
      </c>
    </row>
    <row r="108" spans="1:32">
      <c r="A108" t="str">
        <f>IF(OR(I108&lt;0, ISTEXT(W108), ISTEXT(Y108)), "Invalid", IF(OR(B108="Conflicting Duplicate", M108="Unknown", S108="Unknown"), "Warning", "Valid"))</f>
        <v>Valid</v>
      </c>
      <c r="B108" t="str">
        <f t="shared" si="9"/>
        <v>-</v>
      </c>
      <c r="C108" t="s">
        <v>659</v>
      </c>
      <c r="D108" s="2">
        <v>45581</v>
      </c>
      <c r="E108" t="str">
        <f t="shared" si="10"/>
        <v>October</v>
      </c>
      <c r="F108">
        <f t="shared" si="11"/>
        <v>2024</v>
      </c>
      <c r="G108" s="2">
        <v>45581</v>
      </c>
      <c r="H108" t="s">
        <v>660</v>
      </c>
      <c r="I108">
        <f t="shared" si="12"/>
        <v>0</v>
      </c>
      <c r="J108" t="s">
        <v>2795</v>
      </c>
      <c r="K108" t="s">
        <v>62</v>
      </c>
      <c r="L108" t="s">
        <v>95</v>
      </c>
      <c r="M108" t="s">
        <v>38</v>
      </c>
      <c r="N108" t="s">
        <v>145</v>
      </c>
      <c r="O108" t="s">
        <v>146</v>
      </c>
      <c r="P108" t="s">
        <v>74</v>
      </c>
      <c r="Q108" t="s">
        <v>274</v>
      </c>
      <c r="R108" t="s">
        <v>661</v>
      </c>
      <c r="S108" t="s">
        <v>59</v>
      </c>
      <c r="T108">
        <v>7</v>
      </c>
      <c r="U108">
        <v>775.77</v>
      </c>
      <c r="V108">
        <v>0</v>
      </c>
      <c r="W108">
        <v>0</v>
      </c>
      <c r="X108">
        <v>5430.39</v>
      </c>
      <c r="Y108">
        <f t="shared" si="8"/>
        <v>5430.39</v>
      </c>
      <c r="Z108">
        <v>3707.66</v>
      </c>
      <c r="AA108">
        <v>1722.73</v>
      </c>
      <c r="AB108">
        <f t="shared" si="13"/>
        <v>1722.7300000000005</v>
      </c>
      <c r="AC108" s="8">
        <f t="shared" si="14"/>
        <v>0.31723872502711598</v>
      </c>
      <c r="AD108" t="s">
        <v>32</v>
      </c>
      <c r="AE108" t="s">
        <v>33</v>
      </c>
      <c r="AF108" t="str">
        <f t="shared" si="15"/>
        <v>Perfect Match</v>
      </c>
    </row>
    <row r="109" spans="1:32">
      <c r="A109" t="str">
        <f>IF(OR(I109&lt;0, ISTEXT(W109), ISTEXT(Y109)), "Invalid", IF(OR(B109="Conflicting Duplicate", M109="Unknown", S109="Unknown"), "Warning", "Valid"))</f>
        <v>Valid</v>
      </c>
      <c r="B109" t="str">
        <f t="shared" si="9"/>
        <v>-</v>
      </c>
      <c r="C109" t="s">
        <v>665</v>
      </c>
      <c r="D109" s="2">
        <v>45384</v>
      </c>
      <c r="E109" t="str">
        <f t="shared" si="10"/>
        <v>April</v>
      </c>
      <c r="F109">
        <f t="shared" si="11"/>
        <v>2024</v>
      </c>
      <c r="G109" s="2">
        <v>45388</v>
      </c>
      <c r="H109" t="s">
        <v>666</v>
      </c>
      <c r="I109">
        <f t="shared" si="12"/>
        <v>4</v>
      </c>
      <c r="J109" t="s">
        <v>2795</v>
      </c>
      <c r="K109" t="s">
        <v>71</v>
      </c>
      <c r="L109" t="s">
        <v>90</v>
      </c>
      <c r="M109" t="s">
        <v>63</v>
      </c>
      <c r="N109" t="s">
        <v>72</v>
      </c>
      <c r="O109" t="s">
        <v>73</v>
      </c>
      <c r="P109" t="s">
        <v>41</v>
      </c>
      <c r="Q109" t="s">
        <v>158</v>
      </c>
      <c r="R109" t="s">
        <v>667</v>
      </c>
      <c r="S109" t="s">
        <v>59</v>
      </c>
      <c r="T109">
        <v>2</v>
      </c>
      <c r="U109">
        <v>888.98</v>
      </c>
      <c r="V109">
        <v>0</v>
      </c>
      <c r="W109">
        <v>0</v>
      </c>
      <c r="X109">
        <v>1777.96</v>
      </c>
      <c r="Y109">
        <f t="shared" si="8"/>
        <v>1777.96</v>
      </c>
      <c r="Z109">
        <v>1021.16</v>
      </c>
      <c r="AA109">
        <v>756.8</v>
      </c>
      <c r="AB109">
        <f t="shared" si="13"/>
        <v>756.80000000000007</v>
      </c>
      <c r="AC109" s="8">
        <f t="shared" si="14"/>
        <v>0.42565637022205227</v>
      </c>
      <c r="AD109" t="s">
        <v>102</v>
      </c>
      <c r="AE109" t="s">
        <v>103</v>
      </c>
      <c r="AF109" t="str">
        <f t="shared" si="15"/>
        <v>Perfect Match</v>
      </c>
    </row>
    <row r="110" spans="1:32">
      <c r="A110" s="6" t="str">
        <f>IF(OR(I110&lt;0, ISTEXT(W110), ISTEXT(Y110)), "Invalid", IF(OR(B110="Conflicting Duplicate", M110="Unknown", S110="Unknown"), "Warning", "Valid"))</f>
        <v>Warning</v>
      </c>
      <c r="B110" t="str">
        <f t="shared" si="9"/>
        <v>-</v>
      </c>
      <c r="C110" t="s">
        <v>668</v>
      </c>
      <c r="D110" s="2">
        <v>45601</v>
      </c>
      <c r="E110" t="str">
        <f t="shared" si="10"/>
        <v>November</v>
      </c>
      <c r="F110">
        <f t="shared" si="11"/>
        <v>2024</v>
      </c>
      <c r="G110" s="2">
        <v>45609</v>
      </c>
      <c r="H110" t="s">
        <v>669</v>
      </c>
      <c r="I110">
        <f t="shared" si="12"/>
        <v>8</v>
      </c>
      <c r="J110" t="s">
        <v>2795</v>
      </c>
      <c r="K110" t="s">
        <v>53</v>
      </c>
      <c r="L110" t="s">
        <v>24</v>
      </c>
      <c r="M110" s="4" t="s">
        <v>2790</v>
      </c>
      <c r="N110" t="s">
        <v>122</v>
      </c>
      <c r="O110" t="s">
        <v>123</v>
      </c>
      <c r="P110" t="s">
        <v>28</v>
      </c>
      <c r="Q110" t="s">
        <v>91</v>
      </c>
      <c r="R110" t="s">
        <v>670</v>
      </c>
      <c r="S110" t="s">
        <v>31</v>
      </c>
      <c r="T110">
        <v>2</v>
      </c>
      <c r="U110">
        <v>1003.17</v>
      </c>
      <c r="V110">
        <v>0.2</v>
      </c>
      <c r="W110">
        <v>0.2</v>
      </c>
      <c r="X110">
        <v>1605.07</v>
      </c>
      <c r="Y110">
        <f t="shared" si="8"/>
        <v>1605.07</v>
      </c>
      <c r="Z110">
        <v>1337.28</v>
      </c>
      <c r="AA110">
        <v>267.79000000000002</v>
      </c>
      <c r="AB110">
        <f t="shared" si="13"/>
        <v>267.78999999999996</v>
      </c>
      <c r="AC110" s="8">
        <f t="shared" si="14"/>
        <v>0.16684007551072538</v>
      </c>
      <c r="AD110" t="s">
        <v>32</v>
      </c>
      <c r="AE110" t="s">
        <v>33</v>
      </c>
      <c r="AF110" t="str">
        <f t="shared" si="15"/>
        <v>Perfect Match</v>
      </c>
    </row>
    <row r="111" spans="1:32">
      <c r="A111" t="str">
        <f>IF(OR(I111&lt;0, ISTEXT(W111), ISTEXT(Y111)), "Invalid", IF(OR(B111="Conflicting Duplicate", M111="Unknown", S111="Unknown"), "Warning", "Valid"))</f>
        <v>Valid</v>
      </c>
      <c r="B111" t="str">
        <f t="shared" si="9"/>
        <v>-</v>
      </c>
      <c r="C111" t="s">
        <v>671</v>
      </c>
      <c r="D111" s="2">
        <v>45492</v>
      </c>
      <c r="E111" t="str">
        <f t="shared" si="10"/>
        <v>July</v>
      </c>
      <c r="F111">
        <f t="shared" si="11"/>
        <v>2024</v>
      </c>
      <c r="G111" s="2">
        <v>45493</v>
      </c>
      <c r="H111" t="s">
        <v>263</v>
      </c>
      <c r="I111">
        <f t="shared" si="12"/>
        <v>1</v>
      </c>
      <c r="J111" t="s">
        <v>2795</v>
      </c>
      <c r="K111" t="s">
        <v>71</v>
      </c>
      <c r="L111" t="s">
        <v>24</v>
      </c>
      <c r="M111" t="s">
        <v>54</v>
      </c>
      <c r="N111" t="s">
        <v>247</v>
      </c>
      <c r="O111" t="s">
        <v>248</v>
      </c>
      <c r="P111" t="s">
        <v>41</v>
      </c>
      <c r="Q111" t="s">
        <v>42</v>
      </c>
      <c r="R111" t="s">
        <v>672</v>
      </c>
      <c r="S111" t="s">
        <v>50</v>
      </c>
      <c r="T111">
        <v>7</v>
      </c>
      <c r="U111">
        <v>3608.43</v>
      </c>
      <c r="V111">
        <v>0.05</v>
      </c>
      <c r="W111">
        <v>0.05</v>
      </c>
      <c r="X111">
        <v>23996.06</v>
      </c>
      <c r="Y111">
        <f t="shared" si="8"/>
        <v>23996.06</v>
      </c>
      <c r="Z111">
        <v>20167.28</v>
      </c>
      <c r="AA111">
        <v>3828.78</v>
      </c>
      <c r="AB111">
        <f t="shared" si="13"/>
        <v>3828.7800000000025</v>
      </c>
      <c r="AC111" s="8">
        <f t="shared" si="14"/>
        <v>0.15955869421896771</v>
      </c>
      <c r="AD111" t="s">
        <v>32</v>
      </c>
      <c r="AE111" t="s">
        <v>33</v>
      </c>
      <c r="AF111" t="str">
        <f t="shared" si="15"/>
        <v>Perfect Match</v>
      </c>
    </row>
    <row r="112" spans="1:32">
      <c r="A112" s="6" t="str">
        <f>IF(OR(I112&lt;0, ISTEXT(W112), ISTEXT(Y112)), "Invalid", IF(OR(B112="Conflicting Duplicate", M112="Unknown", S112="Unknown"), "Warning", "Valid"))</f>
        <v>Invalid</v>
      </c>
      <c r="B112" t="str">
        <f t="shared" si="9"/>
        <v>-</v>
      </c>
      <c r="C112" t="s">
        <v>686</v>
      </c>
      <c r="D112" s="2">
        <v>45584</v>
      </c>
      <c r="E112" t="str">
        <f t="shared" si="10"/>
        <v>October</v>
      </c>
      <c r="F112">
        <f t="shared" si="11"/>
        <v>2024</v>
      </c>
      <c r="G112" s="2">
        <v>45589</v>
      </c>
      <c r="H112" t="s">
        <v>687</v>
      </c>
      <c r="I112">
        <f t="shared" si="12"/>
        <v>5</v>
      </c>
      <c r="J112" t="s">
        <v>2795</v>
      </c>
      <c r="K112" t="s">
        <v>132</v>
      </c>
      <c r="L112" t="s">
        <v>37</v>
      </c>
      <c r="M112" t="s">
        <v>54</v>
      </c>
      <c r="N112" t="s">
        <v>247</v>
      </c>
      <c r="O112" t="s">
        <v>248</v>
      </c>
      <c r="P112" t="s">
        <v>41</v>
      </c>
      <c r="Q112" t="s">
        <v>158</v>
      </c>
      <c r="R112" t="s">
        <v>688</v>
      </c>
      <c r="S112" t="s">
        <v>31</v>
      </c>
      <c r="T112">
        <v>6</v>
      </c>
      <c r="U112">
        <v>4308.3999999999996</v>
      </c>
      <c r="V112">
        <v>0.65</v>
      </c>
      <c r="W112" s="4" t="s">
        <v>2794</v>
      </c>
      <c r="X112">
        <v>25850.400000000001</v>
      </c>
      <c r="Y112" s="4" t="str">
        <f t="shared" si="8"/>
        <v>Cannot Calculate</v>
      </c>
      <c r="Z112">
        <v>19397.68</v>
      </c>
      <c r="AA112">
        <v>6452.72</v>
      </c>
      <c r="AB112" s="4" t="str">
        <f t="shared" si="13"/>
        <v>Cannot Calculate</v>
      </c>
      <c r="AC112" s="9">
        <f t="shared" si="14"/>
        <v>0</v>
      </c>
      <c r="AD112" t="s">
        <v>32</v>
      </c>
      <c r="AE112" t="s">
        <v>33</v>
      </c>
      <c r="AF112" t="str">
        <f t="shared" si="15"/>
        <v>Calculation Blocked</v>
      </c>
    </row>
    <row r="113" spans="1:32">
      <c r="A113" t="str">
        <f>IF(OR(I113&lt;0, ISTEXT(W113), ISTEXT(Y113)), "Invalid", IF(OR(B113="Conflicting Duplicate", M113="Unknown", S113="Unknown"), "Warning", "Valid"))</f>
        <v>Valid</v>
      </c>
      <c r="B113" t="str">
        <f t="shared" si="9"/>
        <v>-</v>
      </c>
      <c r="C113" t="s">
        <v>689</v>
      </c>
      <c r="D113" s="2">
        <v>45635</v>
      </c>
      <c r="E113" t="str">
        <f t="shared" si="10"/>
        <v>December</v>
      </c>
      <c r="F113">
        <f t="shared" si="11"/>
        <v>2024</v>
      </c>
      <c r="G113" s="2">
        <v>45642</v>
      </c>
      <c r="H113" t="s">
        <v>690</v>
      </c>
      <c r="I113">
        <f t="shared" si="12"/>
        <v>7</v>
      </c>
      <c r="J113" t="s">
        <v>2795</v>
      </c>
      <c r="K113" t="s">
        <v>47</v>
      </c>
      <c r="L113" t="s">
        <v>95</v>
      </c>
      <c r="M113" t="s">
        <v>63</v>
      </c>
      <c r="N113" t="s">
        <v>180</v>
      </c>
      <c r="O113" t="s">
        <v>181</v>
      </c>
      <c r="P113" t="s">
        <v>41</v>
      </c>
      <c r="Q113" t="s">
        <v>66</v>
      </c>
      <c r="R113" t="s">
        <v>691</v>
      </c>
      <c r="S113" t="s">
        <v>50</v>
      </c>
      <c r="T113">
        <v>4</v>
      </c>
      <c r="U113">
        <v>2191.0300000000002</v>
      </c>
      <c r="V113">
        <v>0</v>
      </c>
      <c r="W113">
        <v>0</v>
      </c>
      <c r="X113">
        <v>8764.1200000000008</v>
      </c>
      <c r="Y113">
        <f t="shared" si="8"/>
        <v>8764.1200000000008</v>
      </c>
      <c r="Z113">
        <v>7220.05</v>
      </c>
      <c r="AA113">
        <v>1544.07</v>
      </c>
      <c r="AB113">
        <f t="shared" si="13"/>
        <v>1544.0700000000006</v>
      </c>
      <c r="AC113" s="8">
        <f t="shared" si="14"/>
        <v>0.17618083732308554</v>
      </c>
      <c r="AD113" t="s">
        <v>32</v>
      </c>
      <c r="AE113" t="s">
        <v>33</v>
      </c>
      <c r="AF113" t="str">
        <f t="shared" si="15"/>
        <v>Perfect Match</v>
      </c>
    </row>
    <row r="114" spans="1:32">
      <c r="A114" t="str">
        <f>IF(OR(I114&lt;0, ISTEXT(W114), ISTEXT(Y114)), "Invalid", IF(OR(B114="Conflicting Duplicate", M114="Unknown", S114="Unknown"), "Warning", "Valid"))</f>
        <v>Valid</v>
      </c>
      <c r="B114" t="str">
        <f t="shared" si="9"/>
        <v>-</v>
      </c>
      <c r="C114" t="s">
        <v>692</v>
      </c>
      <c r="D114" s="2">
        <v>45466</v>
      </c>
      <c r="E114" t="str">
        <f t="shared" si="10"/>
        <v>June</v>
      </c>
      <c r="F114">
        <f t="shared" si="11"/>
        <v>2024</v>
      </c>
      <c r="G114" s="2">
        <v>45471</v>
      </c>
      <c r="H114" t="s">
        <v>693</v>
      </c>
      <c r="I114">
        <f t="shared" si="12"/>
        <v>5</v>
      </c>
      <c r="J114" t="s">
        <v>2795</v>
      </c>
      <c r="K114" t="s">
        <v>114</v>
      </c>
      <c r="L114" t="s">
        <v>37</v>
      </c>
      <c r="M114" t="s">
        <v>25</v>
      </c>
      <c r="N114" t="s">
        <v>122</v>
      </c>
      <c r="O114" t="s">
        <v>123</v>
      </c>
      <c r="P114" t="s">
        <v>74</v>
      </c>
      <c r="Q114" t="s">
        <v>80</v>
      </c>
      <c r="R114" t="s">
        <v>694</v>
      </c>
      <c r="S114" t="s">
        <v>44</v>
      </c>
      <c r="T114">
        <v>6</v>
      </c>
      <c r="U114">
        <v>1956.63</v>
      </c>
      <c r="V114">
        <v>0.2</v>
      </c>
      <c r="W114">
        <v>0.2</v>
      </c>
      <c r="X114">
        <v>9391.82</v>
      </c>
      <c r="Y114">
        <f t="shared" si="8"/>
        <v>9391.82</v>
      </c>
      <c r="Z114">
        <v>6013.22</v>
      </c>
      <c r="AA114">
        <v>3378.6</v>
      </c>
      <c r="AB114">
        <f t="shared" si="13"/>
        <v>3378.5999999999995</v>
      </c>
      <c r="AC114" s="8">
        <f t="shared" si="14"/>
        <v>0.35973858102050504</v>
      </c>
      <c r="AD114" t="s">
        <v>102</v>
      </c>
      <c r="AE114" t="s">
        <v>103</v>
      </c>
      <c r="AF114" t="str">
        <f t="shared" si="15"/>
        <v>Perfect Match</v>
      </c>
    </row>
    <row r="115" spans="1:32">
      <c r="A115" t="str">
        <f>IF(OR(I115&lt;0, ISTEXT(W115), ISTEXT(Y115)), "Invalid", IF(OR(B115="Conflicting Duplicate", M115="Unknown", S115="Unknown"), "Warning", "Valid"))</f>
        <v>Valid</v>
      </c>
      <c r="B115" t="str">
        <f t="shared" si="9"/>
        <v>-</v>
      </c>
      <c r="C115" t="s">
        <v>702</v>
      </c>
      <c r="D115" s="2">
        <v>45313</v>
      </c>
      <c r="E115" t="str">
        <f t="shared" si="10"/>
        <v>January</v>
      </c>
      <c r="F115">
        <f t="shared" si="11"/>
        <v>2024</v>
      </c>
      <c r="G115" s="2">
        <v>45316</v>
      </c>
      <c r="H115" t="s">
        <v>703</v>
      </c>
      <c r="I115">
        <f t="shared" si="12"/>
        <v>3</v>
      </c>
      <c r="J115" t="s">
        <v>2795</v>
      </c>
      <c r="K115" t="s">
        <v>264</v>
      </c>
      <c r="L115" t="s">
        <v>95</v>
      </c>
      <c r="M115" t="s">
        <v>25</v>
      </c>
      <c r="N115" t="s">
        <v>136</v>
      </c>
      <c r="O115" t="s">
        <v>137</v>
      </c>
      <c r="P115" t="s">
        <v>28</v>
      </c>
      <c r="Q115" t="s">
        <v>124</v>
      </c>
      <c r="R115" t="s">
        <v>704</v>
      </c>
      <c r="S115" t="s">
        <v>50</v>
      </c>
      <c r="T115">
        <v>3</v>
      </c>
      <c r="U115">
        <v>1212.03</v>
      </c>
      <c r="V115">
        <v>0.1</v>
      </c>
      <c r="W115">
        <v>0.1</v>
      </c>
      <c r="X115">
        <v>3272.48</v>
      </c>
      <c r="Y115">
        <f t="shared" si="8"/>
        <v>3272.48</v>
      </c>
      <c r="Z115">
        <v>2517.44</v>
      </c>
      <c r="AA115">
        <v>755.04</v>
      </c>
      <c r="AB115">
        <f t="shared" si="13"/>
        <v>755.04</v>
      </c>
      <c r="AC115" s="8">
        <f t="shared" si="14"/>
        <v>0.23072409915415831</v>
      </c>
      <c r="AD115" t="s">
        <v>32</v>
      </c>
      <c r="AE115" t="s">
        <v>33</v>
      </c>
      <c r="AF115" t="str">
        <f t="shared" si="15"/>
        <v>Perfect Match</v>
      </c>
    </row>
    <row r="116" spans="1:32">
      <c r="A116" t="str">
        <f>IF(OR(I116&lt;0, ISTEXT(W116), ISTEXT(Y116)), "Invalid", IF(OR(B116="Conflicting Duplicate", M116="Unknown", S116="Unknown"), "Warning", "Valid"))</f>
        <v>Valid</v>
      </c>
      <c r="B116" t="str">
        <f t="shared" si="9"/>
        <v>-</v>
      </c>
      <c r="C116" t="s">
        <v>707</v>
      </c>
      <c r="D116" s="2">
        <v>45418</v>
      </c>
      <c r="E116" t="str">
        <f t="shared" si="10"/>
        <v>May</v>
      </c>
      <c r="F116">
        <f t="shared" si="11"/>
        <v>2024</v>
      </c>
      <c r="G116" s="2">
        <v>45449</v>
      </c>
      <c r="H116" t="s">
        <v>708</v>
      </c>
      <c r="I116">
        <f t="shared" si="12"/>
        <v>31</v>
      </c>
      <c r="J116" t="s">
        <v>2795</v>
      </c>
      <c r="K116" t="s">
        <v>132</v>
      </c>
      <c r="L116" t="s">
        <v>24</v>
      </c>
      <c r="M116" t="s">
        <v>63</v>
      </c>
      <c r="N116" t="s">
        <v>180</v>
      </c>
      <c r="O116" t="s">
        <v>181</v>
      </c>
      <c r="P116" t="s">
        <v>28</v>
      </c>
      <c r="Q116" t="s">
        <v>48</v>
      </c>
      <c r="R116" t="s">
        <v>709</v>
      </c>
      <c r="S116" t="s">
        <v>31</v>
      </c>
      <c r="T116">
        <v>1</v>
      </c>
      <c r="U116">
        <v>1184.58</v>
      </c>
      <c r="V116">
        <v>0.05</v>
      </c>
      <c r="W116">
        <v>0.05</v>
      </c>
      <c r="X116">
        <v>1125.3499999999999</v>
      </c>
      <c r="Y116">
        <f t="shared" si="8"/>
        <v>1125.3499999999999</v>
      </c>
      <c r="Z116">
        <v>676.97</v>
      </c>
      <c r="AA116">
        <v>448.38</v>
      </c>
      <c r="AB116">
        <f t="shared" si="13"/>
        <v>448.37999999999988</v>
      </c>
      <c r="AC116" s="8">
        <f t="shared" si="14"/>
        <v>0.39843604212022921</v>
      </c>
      <c r="AD116" t="s">
        <v>155</v>
      </c>
      <c r="AE116" t="s">
        <v>68</v>
      </c>
      <c r="AF116" t="str">
        <f t="shared" si="15"/>
        <v>Perfect Match</v>
      </c>
    </row>
    <row r="117" spans="1:32">
      <c r="A117" s="6" t="str">
        <f>IF(OR(I117&lt;0, ISTEXT(W117), ISTEXT(Y117)), "Invalid", IF(OR(B117="Conflicting Duplicate", M117="Unknown", S117="Unknown"), "Warning", "Valid"))</f>
        <v>Warning</v>
      </c>
      <c r="B117" t="str">
        <f t="shared" si="9"/>
        <v>-</v>
      </c>
      <c r="C117" t="s">
        <v>710</v>
      </c>
      <c r="D117" s="2">
        <v>45363</v>
      </c>
      <c r="E117" t="str">
        <f t="shared" si="10"/>
        <v>March</v>
      </c>
      <c r="F117">
        <f t="shared" si="11"/>
        <v>2024</v>
      </c>
      <c r="G117" s="2">
        <v>45629</v>
      </c>
      <c r="H117" t="s">
        <v>711</v>
      </c>
      <c r="I117">
        <f t="shared" si="12"/>
        <v>266</v>
      </c>
      <c r="J117" t="s">
        <v>2795</v>
      </c>
      <c r="K117" t="s">
        <v>118</v>
      </c>
      <c r="L117" t="s">
        <v>95</v>
      </c>
      <c r="M117" t="s">
        <v>38</v>
      </c>
      <c r="N117" t="s">
        <v>145</v>
      </c>
      <c r="O117" t="s">
        <v>146</v>
      </c>
      <c r="P117" t="s">
        <v>74</v>
      </c>
      <c r="Q117" t="s">
        <v>274</v>
      </c>
      <c r="R117" t="s">
        <v>712</v>
      </c>
      <c r="S117" s="4" t="s">
        <v>2790</v>
      </c>
      <c r="T117">
        <v>6</v>
      </c>
      <c r="U117">
        <v>2185.58</v>
      </c>
      <c r="V117">
        <v>0.25</v>
      </c>
      <c r="W117">
        <v>0.25</v>
      </c>
      <c r="X117">
        <v>9835.11</v>
      </c>
      <c r="Y117">
        <f t="shared" si="8"/>
        <v>9835.11</v>
      </c>
      <c r="Z117">
        <v>5437.64</v>
      </c>
      <c r="AA117">
        <v>4397.47</v>
      </c>
      <c r="AB117">
        <f t="shared" si="13"/>
        <v>4397.47</v>
      </c>
      <c r="AC117" s="8">
        <f t="shared" si="14"/>
        <v>0.44711955433136996</v>
      </c>
      <c r="AD117" t="s">
        <v>32</v>
      </c>
      <c r="AE117" t="s">
        <v>33</v>
      </c>
      <c r="AF117" t="str">
        <f t="shared" si="15"/>
        <v>Perfect Match</v>
      </c>
    </row>
    <row r="118" spans="1:32">
      <c r="A118" t="str">
        <f>IF(OR(I118&lt;0, ISTEXT(W118), ISTEXT(Y118)), "Invalid", IF(OR(B118="Conflicting Duplicate", M118="Unknown", S118="Unknown"), "Warning", "Valid"))</f>
        <v>Valid</v>
      </c>
      <c r="B118" t="str">
        <f t="shared" si="9"/>
        <v>-</v>
      </c>
      <c r="C118" t="s">
        <v>722</v>
      </c>
      <c r="D118" s="2">
        <v>45379</v>
      </c>
      <c r="E118" t="str">
        <f t="shared" si="10"/>
        <v>March</v>
      </c>
      <c r="F118">
        <f t="shared" si="11"/>
        <v>2024</v>
      </c>
      <c r="G118" s="2">
        <v>45381</v>
      </c>
      <c r="H118" t="s">
        <v>723</v>
      </c>
      <c r="I118">
        <f t="shared" si="12"/>
        <v>2</v>
      </c>
      <c r="J118" t="s">
        <v>2795</v>
      </c>
      <c r="K118" t="s">
        <v>132</v>
      </c>
      <c r="L118" t="s">
        <v>90</v>
      </c>
      <c r="M118" t="s">
        <v>63</v>
      </c>
      <c r="N118" t="s">
        <v>26</v>
      </c>
      <c r="O118" t="s">
        <v>109</v>
      </c>
      <c r="P118" t="s">
        <v>74</v>
      </c>
      <c r="Q118" t="s">
        <v>75</v>
      </c>
      <c r="R118" t="s">
        <v>724</v>
      </c>
      <c r="S118" t="s">
        <v>31</v>
      </c>
      <c r="T118">
        <v>1</v>
      </c>
      <c r="U118">
        <v>570.34</v>
      </c>
      <c r="V118">
        <v>0.15</v>
      </c>
      <c r="W118">
        <v>0.15</v>
      </c>
      <c r="X118">
        <v>484.79</v>
      </c>
      <c r="Y118">
        <f t="shared" si="8"/>
        <v>484.79</v>
      </c>
      <c r="Z118">
        <v>333.54</v>
      </c>
      <c r="AA118">
        <v>151.25</v>
      </c>
      <c r="AB118">
        <f t="shared" si="13"/>
        <v>151.25</v>
      </c>
      <c r="AC118" s="8">
        <f t="shared" si="14"/>
        <v>0.31199075888529054</v>
      </c>
      <c r="AD118" t="s">
        <v>32</v>
      </c>
      <c r="AE118" t="s">
        <v>33</v>
      </c>
      <c r="AF118" t="str">
        <f t="shared" si="15"/>
        <v>Perfect Match</v>
      </c>
    </row>
    <row r="119" spans="1:32">
      <c r="A119" t="str">
        <f>IF(OR(I119&lt;0, ISTEXT(W119), ISTEXT(Y119)), "Invalid", IF(OR(B119="Conflicting Duplicate", M119="Unknown", S119="Unknown"), "Warning", "Valid"))</f>
        <v>Valid</v>
      </c>
      <c r="B119" t="str">
        <f t="shared" si="9"/>
        <v>-</v>
      </c>
      <c r="C119" t="s">
        <v>734</v>
      </c>
      <c r="D119" s="2">
        <v>45483</v>
      </c>
      <c r="E119" t="str">
        <f t="shared" si="10"/>
        <v>July</v>
      </c>
      <c r="F119">
        <f t="shared" si="11"/>
        <v>2024</v>
      </c>
      <c r="G119" s="2">
        <v>45489</v>
      </c>
      <c r="H119" t="s">
        <v>735</v>
      </c>
      <c r="I119">
        <f t="shared" si="12"/>
        <v>6</v>
      </c>
      <c r="J119" t="s">
        <v>2795</v>
      </c>
      <c r="K119" t="s">
        <v>128</v>
      </c>
      <c r="L119" t="s">
        <v>95</v>
      </c>
      <c r="M119" t="s">
        <v>63</v>
      </c>
      <c r="N119" t="s">
        <v>190</v>
      </c>
      <c r="O119" t="s">
        <v>191</v>
      </c>
      <c r="P119" t="s">
        <v>41</v>
      </c>
      <c r="Q119" t="s">
        <v>158</v>
      </c>
      <c r="R119" t="s">
        <v>736</v>
      </c>
      <c r="S119" t="s">
        <v>31</v>
      </c>
      <c r="T119">
        <v>2</v>
      </c>
      <c r="U119">
        <v>1095.45</v>
      </c>
      <c r="V119">
        <v>0.2</v>
      </c>
      <c r="W119">
        <v>0.2</v>
      </c>
      <c r="X119">
        <v>1752.72</v>
      </c>
      <c r="Y119">
        <f t="shared" si="8"/>
        <v>1752.72</v>
      </c>
      <c r="Z119">
        <v>996.41</v>
      </c>
      <c r="AA119">
        <v>756.31</v>
      </c>
      <c r="AB119">
        <f t="shared" si="13"/>
        <v>756.31000000000006</v>
      </c>
      <c r="AC119" s="8">
        <f t="shared" si="14"/>
        <v>0.431506458533023</v>
      </c>
      <c r="AD119" t="s">
        <v>32</v>
      </c>
      <c r="AE119" t="s">
        <v>33</v>
      </c>
      <c r="AF119" t="str">
        <f t="shared" si="15"/>
        <v>Perfect Match</v>
      </c>
    </row>
    <row r="120" spans="1:32">
      <c r="A120" t="str">
        <f>IF(OR(I120&lt;0, ISTEXT(W120), ISTEXT(Y120)), "Invalid", IF(OR(B120="Conflicting Duplicate", M120="Unknown", S120="Unknown"), "Warning", "Valid"))</f>
        <v>Valid</v>
      </c>
      <c r="B120" t="str">
        <f t="shared" si="9"/>
        <v>-</v>
      </c>
      <c r="C120" t="s">
        <v>743</v>
      </c>
      <c r="D120" s="2">
        <v>45366</v>
      </c>
      <c r="E120" t="str">
        <f t="shared" si="10"/>
        <v>March</v>
      </c>
      <c r="F120">
        <f t="shared" si="11"/>
        <v>2024</v>
      </c>
      <c r="G120" s="2">
        <v>45369</v>
      </c>
      <c r="H120" t="s">
        <v>744</v>
      </c>
      <c r="I120">
        <f t="shared" si="12"/>
        <v>3</v>
      </c>
      <c r="J120" t="s">
        <v>2795</v>
      </c>
      <c r="K120" t="s">
        <v>264</v>
      </c>
      <c r="L120" t="s">
        <v>95</v>
      </c>
      <c r="M120" t="s">
        <v>54</v>
      </c>
      <c r="N120" t="s">
        <v>175</v>
      </c>
      <c r="O120" t="s">
        <v>176</v>
      </c>
      <c r="P120" t="s">
        <v>74</v>
      </c>
      <c r="Q120" t="s">
        <v>274</v>
      </c>
      <c r="R120" t="s">
        <v>745</v>
      </c>
      <c r="S120" t="s">
        <v>31</v>
      </c>
      <c r="T120">
        <v>1</v>
      </c>
      <c r="U120">
        <v>4131.3599999999997</v>
      </c>
      <c r="V120">
        <v>0</v>
      </c>
      <c r="W120">
        <v>0</v>
      </c>
      <c r="X120">
        <v>4131.3599999999997</v>
      </c>
      <c r="Y120">
        <f t="shared" si="8"/>
        <v>4131.3599999999997</v>
      </c>
      <c r="Z120">
        <v>2937.07</v>
      </c>
      <c r="AA120">
        <v>1194.29</v>
      </c>
      <c r="AB120">
        <f t="shared" si="13"/>
        <v>1194.2899999999995</v>
      </c>
      <c r="AC120" s="8">
        <f t="shared" si="14"/>
        <v>0.28907914100925591</v>
      </c>
      <c r="AD120" t="s">
        <v>155</v>
      </c>
      <c r="AE120" t="s">
        <v>103</v>
      </c>
      <c r="AF120" t="str">
        <f t="shared" si="15"/>
        <v>Perfect Match</v>
      </c>
    </row>
    <row r="121" spans="1:32">
      <c r="A121" t="str">
        <f>IF(OR(I121&lt;0, ISTEXT(W121), ISTEXT(Y121)), "Invalid", IF(OR(B121="Conflicting Duplicate", M121="Unknown", S121="Unknown"), "Warning", "Valid"))</f>
        <v>Valid</v>
      </c>
      <c r="B121" t="str">
        <f t="shared" si="9"/>
        <v>-</v>
      </c>
      <c r="C121" t="s">
        <v>746</v>
      </c>
      <c r="D121" s="2">
        <v>45428</v>
      </c>
      <c r="E121" t="str">
        <f t="shared" si="10"/>
        <v>May</v>
      </c>
      <c r="F121">
        <f t="shared" si="11"/>
        <v>2024</v>
      </c>
      <c r="G121" s="2">
        <v>45429</v>
      </c>
      <c r="H121" t="s">
        <v>747</v>
      </c>
      <c r="I121">
        <f t="shared" si="12"/>
        <v>1</v>
      </c>
      <c r="J121" t="s">
        <v>2795</v>
      </c>
      <c r="K121" t="s">
        <v>141</v>
      </c>
      <c r="L121" t="s">
        <v>90</v>
      </c>
      <c r="M121" t="s">
        <v>748</v>
      </c>
      <c r="N121" t="s">
        <v>99</v>
      </c>
      <c r="O121" t="s">
        <v>100</v>
      </c>
      <c r="P121" t="s">
        <v>74</v>
      </c>
      <c r="Q121" t="s">
        <v>80</v>
      </c>
      <c r="R121" t="s">
        <v>749</v>
      </c>
      <c r="S121" t="s">
        <v>31</v>
      </c>
      <c r="T121">
        <v>8</v>
      </c>
      <c r="U121">
        <v>4221.95</v>
      </c>
      <c r="V121">
        <v>0.2</v>
      </c>
      <c r="W121">
        <v>0.2</v>
      </c>
      <c r="X121">
        <v>27020.48</v>
      </c>
      <c r="Y121">
        <f t="shared" si="8"/>
        <v>27020.48</v>
      </c>
      <c r="Z121">
        <v>22885.24</v>
      </c>
      <c r="AA121">
        <v>4135.24</v>
      </c>
      <c r="AB121">
        <f t="shared" si="13"/>
        <v>4135.239999999998</v>
      </c>
      <c r="AC121" s="8">
        <f t="shared" si="14"/>
        <v>0.15304095264036752</v>
      </c>
      <c r="AD121" t="s">
        <v>32</v>
      </c>
      <c r="AE121" t="s">
        <v>33</v>
      </c>
      <c r="AF121" t="str">
        <f t="shared" si="15"/>
        <v>Perfect Match</v>
      </c>
    </row>
    <row r="122" spans="1:32">
      <c r="A122" t="str">
        <f>IF(OR(I122&lt;0, ISTEXT(W122), ISTEXT(Y122)), "Invalid", IF(OR(B122="Conflicting Duplicate", M122="Unknown", S122="Unknown"), "Warning", "Valid"))</f>
        <v>Valid</v>
      </c>
      <c r="B122" t="str">
        <f t="shared" si="9"/>
        <v>-</v>
      </c>
      <c r="C122" t="s">
        <v>750</v>
      </c>
      <c r="D122" s="2">
        <v>45556</v>
      </c>
      <c r="E122" t="str">
        <f t="shared" si="10"/>
        <v>September</v>
      </c>
      <c r="F122">
        <f t="shared" si="11"/>
        <v>2024</v>
      </c>
      <c r="G122" s="2">
        <v>45556</v>
      </c>
      <c r="H122" t="s">
        <v>751</v>
      </c>
      <c r="I122">
        <f t="shared" si="12"/>
        <v>0</v>
      </c>
      <c r="J122" t="s">
        <v>2795</v>
      </c>
      <c r="K122" t="s">
        <v>62</v>
      </c>
      <c r="L122" t="s">
        <v>37</v>
      </c>
      <c r="M122" t="s">
        <v>38</v>
      </c>
      <c r="N122" t="s">
        <v>39</v>
      </c>
      <c r="O122" t="s">
        <v>40</v>
      </c>
      <c r="P122" t="s">
        <v>74</v>
      </c>
      <c r="Q122" t="s">
        <v>171</v>
      </c>
      <c r="R122" t="s">
        <v>752</v>
      </c>
      <c r="S122" t="s">
        <v>44</v>
      </c>
      <c r="T122">
        <v>2</v>
      </c>
      <c r="U122">
        <v>214.5</v>
      </c>
      <c r="V122">
        <v>0.15</v>
      </c>
      <c r="W122">
        <v>0.15</v>
      </c>
      <c r="X122">
        <v>364.65</v>
      </c>
      <c r="Y122">
        <f t="shared" si="8"/>
        <v>364.65</v>
      </c>
      <c r="Z122">
        <v>280.74</v>
      </c>
      <c r="AA122">
        <v>83.91</v>
      </c>
      <c r="AB122">
        <f t="shared" si="13"/>
        <v>83.909999999999968</v>
      </c>
      <c r="AC122" s="8">
        <f t="shared" si="14"/>
        <v>0.23011106540518297</v>
      </c>
      <c r="AD122" t="s">
        <v>32</v>
      </c>
      <c r="AE122" t="s">
        <v>33</v>
      </c>
      <c r="AF122" t="str">
        <f t="shared" si="15"/>
        <v>Perfect Match</v>
      </c>
    </row>
    <row r="123" spans="1:32">
      <c r="A123" t="str">
        <f>IF(OR(I123&lt;0, ISTEXT(W123), ISTEXT(Y123)), "Invalid", IF(OR(B123="Conflicting Duplicate", M123="Unknown", S123="Unknown"), "Warning", "Valid"))</f>
        <v>Valid</v>
      </c>
      <c r="B123" t="str">
        <f t="shared" si="9"/>
        <v>-</v>
      </c>
      <c r="C123" t="s">
        <v>753</v>
      </c>
      <c r="D123" s="2">
        <v>45427</v>
      </c>
      <c r="E123" t="str">
        <f t="shared" si="10"/>
        <v>May</v>
      </c>
      <c r="F123">
        <f t="shared" si="11"/>
        <v>2024</v>
      </c>
      <c r="G123" s="2">
        <v>45433</v>
      </c>
      <c r="H123" t="s">
        <v>754</v>
      </c>
      <c r="I123">
        <f t="shared" si="12"/>
        <v>6</v>
      </c>
      <c r="J123" t="s">
        <v>2795</v>
      </c>
      <c r="K123" t="s">
        <v>47</v>
      </c>
      <c r="L123" t="s">
        <v>37</v>
      </c>
      <c r="M123" t="s">
        <v>38</v>
      </c>
      <c r="N123" t="s">
        <v>145</v>
      </c>
      <c r="O123" t="s">
        <v>146</v>
      </c>
      <c r="P123" t="s">
        <v>74</v>
      </c>
      <c r="Q123" t="s">
        <v>75</v>
      </c>
      <c r="R123" t="s">
        <v>755</v>
      </c>
      <c r="S123" t="s">
        <v>31</v>
      </c>
      <c r="T123">
        <v>4</v>
      </c>
      <c r="U123">
        <v>4332.7299999999996</v>
      </c>
      <c r="V123">
        <v>0.2</v>
      </c>
      <c r="W123">
        <v>0.2</v>
      </c>
      <c r="X123">
        <v>13864.74</v>
      </c>
      <c r="Y123">
        <f t="shared" si="8"/>
        <v>13864.74</v>
      </c>
      <c r="Z123">
        <v>11294.06</v>
      </c>
      <c r="AA123">
        <v>2570.6799999999998</v>
      </c>
      <c r="AB123">
        <f t="shared" si="13"/>
        <v>2570.6800000000003</v>
      </c>
      <c r="AC123" s="8">
        <f t="shared" si="14"/>
        <v>0.18541133840230689</v>
      </c>
      <c r="AD123" t="s">
        <v>32</v>
      </c>
      <c r="AE123" t="s">
        <v>33</v>
      </c>
      <c r="AF123" t="str">
        <f t="shared" si="15"/>
        <v>Perfect Match</v>
      </c>
    </row>
    <row r="124" spans="1:32">
      <c r="A124" t="str">
        <f>IF(OR(I124&lt;0, ISTEXT(W124), ISTEXT(Y124)), "Invalid", IF(OR(B124="Conflicting Duplicate", M124="Unknown", S124="Unknown"), "Warning", "Valid"))</f>
        <v>Valid</v>
      </c>
      <c r="B124" t="str">
        <f t="shared" si="9"/>
        <v>-</v>
      </c>
      <c r="C124" t="s">
        <v>756</v>
      </c>
      <c r="D124" s="2">
        <v>45368</v>
      </c>
      <c r="E124" t="str">
        <f t="shared" si="10"/>
        <v>March</v>
      </c>
      <c r="F124">
        <f t="shared" si="11"/>
        <v>2024</v>
      </c>
      <c r="G124" s="2">
        <v>45374</v>
      </c>
      <c r="H124" t="s">
        <v>757</v>
      </c>
      <c r="I124">
        <f t="shared" si="12"/>
        <v>6</v>
      </c>
      <c r="J124" t="s">
        <v>2795</v>
      </c>
      <c r="K124" t="s">
        <v>118</v>
      </c>
      <c r="L124" t="s">
        <v>24</v>
      </c>
      <c r="M124" t="s">
        <v>25</v>
      </c>
      <c r="N124" t="s">
        <v>236</v>
      </c>
      <c r="O124" t="s">
        <v>237</v>
      </c>
      <c r="P124" t="s">
        <v>74</v>
      </c>
      <c r="Q124" t="s">
        <v>75</v>
      </c>
      <c r="R124" t="s">
        <v>758</v>
      </c>
      <c r="S124" t="s">
        <v>50</v>
      </c>
      <c r="T124">
        <v>3</v>
      </c>
      <c r="U124">
        <v>248.18</v>
      </c>
      <c r="V124">
        <v>0.05</v>
      </c>
      <c r="W124">
        <v>0.05</v>
      </c>
      <c r="X124">
        <v>707.31</v>
      </c>
      <c r="Y124">
        <f t="shared" si="8"/>
        <v>707.31</v>
      </c>
      <c r="Z124">
        <v>569</v>
      </c>
      <c r="AA124">
        <v>138.31</v>
      </c>
      <c r="AB124">
        <f t="shared" si="13"/>
        <v>138.30999999999995</v>
      </c>
      <c r="AC124" s="8">
        <f t="shared" si="14"/>
        <v>0.19554367957472671</v>
      </c>
      <c r="AD124" t="s">
        <v>32</v>
      </c>
      <c r="AE124" t="s">
        <v>33</v>
      </c>
      <c r="AF124" t="str">
        <f t="shared" si="15"/>
        <v>Perfect Match</v>
      </c>
    </row>
    <row r="125" spans="1:32">
      <c r="A125" t="str">
        <f>IF(OR(I125&lt;0, ISTEXT(W125), ISTEXT(Y125)), "Invalid", IF(OR(B125="Conflicting Duplicate", M125="Unknown", S125="Unknown"), "Warning", "Valid"))</f>
        <v>Valid</v>
      </c>
      <c r="B125" t="str">
        <f t="shared" si="9"/>
        <v>-</v>
      </c>
      <c r="C125" t="s">
        <v>759</v>
      </c>
      <c r="D125" s="2">
        <v>45294</v>
      </c>
      <c r="E125" t="str">
        <f t="shared" si="10"/>
        <v>January</v>
      </c>
      <c r="F125">
        <f t="shared" si="11"/>
        <v>2024</v>
      </c>
      <c r="G125" s="2">
        <v>45355</v>
      </c>
      <c r="H125" t="s">
        <v>760</v>
      </c>
      <c r="I125">
        <f t="shared" si="12"/>
        <v>61</v>
      </c>
      <c r="J125" t="s">
        <v>2795</v>
      </c>
      <c r="K125" t="s">
        <v>36</v>
      </c>
      <c r="L125" t="s">
        <v>24</v>
      </c>
      <c r="M125" t="s">
        <v>63</v>
      </c>
      <c r="N125" t="s">
        <v>72</v>
      </c>
      <c r="O125" t="s">
        <v>73</v>
      </c>
      <c r="P125" t="s">
        <v>28</v>
      </c>
      <c r="Q125" t="s">
        <v>29</v>
      </c>
      <c r="R125" t="s">
        <v>761</v>
      </c>
      <c r="S125" t="s">
        <v>50</v>
      </c>
      <c r="T125">
        <v>8</v>
      </c>
      <c r="U125">
        <v>3202.4</v>
      </c>
      <c r="V125">
        <v>0.25</v>
      </c>
      <c r="W125">
        <v>0.25</v>
      </c>
      <c r="X125">
        <v>19214.400000000001</v>
      </c>
      <c r="Y125">
        <f t="shared" si="8"/>
        <v>19214.400000000001</v>
      </c>
      <c r="Z125">
        <v>10916.01</v>
      </c>
      <c r="AA125">
        <v>8298.39</v>
      </c>
      <c r="AB125">
        <f t="shared" si="13"/>
        <v>8298.3900000000012</v>
      </c>
      <c r="AC125" s="8">
        <f t="shared" si="14"/>
        <v>0.43188389957531853</v>
      </c>
      <c r="AD125" t="s">
        <v>32</v>
      </c>
      <c r="AE125" t="s">
        <v>33</v>
      </c>
      <c r="AF125" t="str">
        <f t="shared" si="15"/>
        <v>Perfect Match</v>
      </c>
    </row>
    <row r="126" spans="1:32">
      <c r="A126" s="6" t="str">
        <f>IF(OR(I126&lt;0, ISTEXT(W126), ISTEXT(Y126)), "Invalid", IF(OR(B126="Conflicting Duplicate", M126="Unknown", S126="Unknown"), "Warning", "Valid"))</f>
        <v>Invalid</v>
      </c>
      <c r="B126" t="str">
        <f t="shared" si="9"/>
        <v>-</v>
      </c>
      <c r="C126" t="s">
        <v>771</v>
      </c>
      <c r="D126" s="2">
        <v>45461</v>
      </c>
      <c r="E126" t="str">
        <f t="shared" si="10"/>
        <v>June</v>
      </c>
      <c r="F126">
        <f t="shared" si="11"/>
        <v>2024</v>
      </c>
      <c r="G126" s="2">
        <v>45462</v>
      </c>
      <c r="H126" t="s">
        <v>772</v>
      </c>
      <c r="I126">
        <f t="shared" si="12"/>
        <v>1</v>
      </c>
      <c r="J126" t="s">
        <v>2795</v>
      </c>
      <c r="K126" t="s">
        <v>118</v>
      </c>
      <c r="L126" t="s">
        <v>24</v>
      </c>
      <c r="M126" t="s">
        <v>38</v>
      </c>
      <c r="N126" t="s">
        <v>145</v>
      </c>
      <c r="O126" t="s">
        <v>146</v>
      </c>
      <c r="P126" t="s">
        <v>74</v>
      </c>
      <c r="Q126" t="s">
        <v>274</v>
      </c>
      <c r="R126" t="s">
        <v>773</v>
      </c>
      <c r="S126" t="s">
        <v>50</v>
      </c>
      <c r="T126">
        <v>2</v>
      </c>
      <c r="U126">
        <v>121.49</v>
      </c>
      <c r="V126" s="5">
        <v>0.85</v>
      </c>
      <c r="W126" s="4" t="s">
        <v>2794</v>
      </c>
      <c r="X126">
        <v>242.98</v>
      </c>
      <c r="Y126" s="4" t="str">
        <f t="shared" si="8"/>
        <v>Cannot Calculate</v>
      </c>
      <c r="Z126">
        <v>161.41999999999999</v>
      </c>
      <c r="AA126">
        <v>81.56</v>
      </c>
      <c r="AB126" s="4" t="str">
        <f t="shared" si="13"/>
        <v>Cannot Calculate</v>
      </c>
      <c r="AC126" s="9">
        <f t="shared" si="14"/>
        <v>0</v>
      </c>
      <c r="AD126" t="s">
        <v>32</v>
      </c>
      <c r="AE126" t="s">
        <v>33</v>
      </c>
      <c r="AF126" t="str">
        <f t="shared" si="15"/>
        <v>Calculation Blocked</v>
      </c>
    </row>
    <row r="127" spans="1:32">
      <c r="A127" t="str">
        <f>IF(OR(I127&lt;0, ISTEXT(W127), ISTEXT(Y127)), "Invalid", IF(OR(B127="Conflicting Duplicate", M127="Unknown", S127="Unknown"), "Warning", "Valid"))</f>
        <v>Valid</v>
      </c>
      <c r="B127" t="str">
        <f t="shared" si="9"/>
        <v>-</v>
      </c>
      <c r="C127" t="s">
        <v>774</v>
      </c>
      <c r="D127" s="2">
        <v>45538</v>
      </c>
      <c r="E127" t="str">
        <f t="shared" si="10"/>
        <v>September</v>
      </c>
      <c r="F127">
        <f t="shared" si="11"/>
        <v>2024</v>
      </c>
      <c r="G127" s="2">
        <v>45538</v>
      </c>
      <c r="H127" t="s">
        <v>775</v>
      </c>
      <c r="I127">
        <f t="shared" si="12"/>
        <v>0</v>
      </c>
      <c r="J127" t="s">
        <v>2795</v>
      </c>
      <c r="K127" t="s">
        <v>132</v>
      </c>
      <c r="L127" t="s">
        <v>24</v>
      </c>
      <c r="M127" t="s">
        <v>54</v>
      </c>
      <c r="N127" t="s">
        <v>185</v>
      </c>
      <c r="O127" t="s">
        <v>186</v>
      </c>
      <c r="P127" t="s">
        <v>28</v>
      </c>
      <c r="Q127" t="s">
        <v>124</v>
      </c>
      <c r="R127" t="s">
        <v>776</v>
      </c>
      <c r="S127" t="s">
        <v>50</v>
      </c>
      <c r="T127">
        <v>4</v>
      </c>
      <c r="U127">
        <v>2810.17</v>
      </c>
      <c r="V127">
        <v>0.15</v>
      </c>
      <c r="W127">
        <v>0.15</v>
      </c>
      <c r="X127">
        <v>9554.58</v>
      </c>
      <c r="Y127">
        <f t="shared" si="8"/>
        <v>9554.58</v>
      </c>
      <c r="Z127">
        <v>6068.47</v>
      </c>
      <c r="AA127">
        <v>3486.11</v>
      </c>
      <c r="AB127">
        <f t="shared" si="13"/>
        <v>3486.1099999999997</v>
      </c>
      <c r="AC127" s="8">
        <f t="shared" si="14"/>
        <v>0.3648627150539322</v>
      </c>
      <c r="AD127" t="s">
        <v>102</v>
      </c>
      <c r="AE127" t="s">
        <v>68</v>
      </c>
      <c r="AF127" t="str">
        <f t="shared" si="15"/>
        <v>Perfect Match</v>
      </c>
    </row>
    <row r="128" spans="1:32">
      <c r="A128" t="str">
        <f>IF(OR(I128&lt;0, ISTEXT(W128), ISTEXT(Y128)), "Invalid", IF(OR(B128="Conflicting Duplicate", M128="Unknown", S128="Unknown"), "Warning", "Valid"))</f>
        <v>Valid</v>
      </c>
      <c r="B128" t="str">
        <f t="shared" si="9"/>
        <v>-</v>
      </c>
      <c r="C128" t="s">
        <v>789</v>
      </c>
      <c r="D128" s="2">
        <v>45537</v>
      </c>
      <c r="E128" t="str">
        <f t="shared" si="10"/>
        <v>September</v>
      </c>
      <c r="F128">
        <f t="shared" si="11"/>
        <v>2024</v>
      </c>
      <c r="G128" s="2">
        <v>45545</v>
      </c>
      <c r="H128" t="s">
        <v>790</v>
      </c>
      <c r="I128">
        <f t="shared" si="12"/>
        <v>8</v>
      </c>
      <c r="J128" t="s">
        <v>2795</v>
      </c>
      <c r="K128" t="s">
        <v>36</v>
      </c>
      <c r="L128" t="s">
        <v>90</v>
      </c>
      <c r="M128" t="s">
        <v>63</v>
      </c>
      <c r="N128" t="s">
        <v>190</v>
      </c>
      <c r="O128" t="s">
        <v>191</v>
      </c>
      <c r="P128" t="s">
        <v>74</v>
      </c>
      <c r="Q128" t="s">
        <v>171</v>
      </c>
      <c r="R128" t="s">
        <v>791</v>
      </c>
      <c r="S128" t="s">
        <v>59</v>
      </c>
      <c r="T128">
        <v>6</v>
      </c>
      <c r="U128">
        <v>1032.47</v>
      </c>
      <c r="V128">
        <v>0.15</v>
      </c>
      <c r="W128">
        <v>0.15</v>
      </c>
      <c r="X128">
        <v>5265.6</v>
      </c>
      <c r="Y128">
        <f t="shared" si="8"/>
        <v>5265.6</v>
      </c>
      <c r="Z128">
        <v>4293.1099999999997</v>
      </c>
      <c r="AA128">
        <v>787.57</v>
      </c>
      <c r="AB128">
        <f t="shared" si="13"/>
        <v>972.49000000000069</v>
      </c>
      <c r="AC128" s="8">
        <f t="shared" si="14"/>
        <v>0.18468740504405967</v>
      </c>
      <c r="AD128" t="s">
        <v>32</v>
      </c>
      <c r="AE128" t="s">
        <v>33</v>
      </c>
      <c r="AF128" t="str">
        <f t="shared" si="15"/>
        <v>Mismatch Found</v>
      </c>
    </row>
    <row r="129" spans="1:32">
      <c r="A129" t="str">
        <f>IF(OR(I129&lt;0, ISTEXT(W129), ISTEXT(Y129)), "Invalid", IF(OR(B129="Conflicting Duplicate", M129="Unknown", S129="Unknown"), "Warning", "Valid"))</f>
        <v>Valid</v>
      </c>
      <c r="B129" t="str">
        <f t="shared" si="9"/>
        <v>-</v>
      </c>
      <c r="C129" t="s">
        <v>795</v>
      </c>
      <c r="D129" s="2">
        <v>45478</v>
      </c>
      <c r="E129" t="str">
        <f t="shared" si="10"/>
        <v>July</v>
      </c>
      <c r="F129">
        <f t="shared" si="11"/>
        <v>2024</v>
      </c>
      <c r="G129" s="2">
        <v>45485</v>
      </c>
      <c r="H129" t="s">
        <v>796</v>
      </c>
      <c r="I129">
        <f t="shared" si="12"/>
        <v>7</v>
      </c>
      <c r="J129" t="s">
        <v>2795</v>
      </c>
      <c r="K129" t="s">
        <v>62</v>
      </c>
      <c r="L129" t="s">
        <v>797</v>
      </c>
      <c r="M129" t="s">
        <v>63</v>
      </c>
      <c r="N129" t="s">
        <v>190</v>
      </c>
      <c r="O129" t="s">
        <v>191</v>
      </c>
      <c r="P129" t="s">
        <v>28</v>
      </c>
      <c r="Q129" t="s">
        <v>153</v>
      </c>
      <c r="R129" t="s">
        <v>798</v>
      </c>
      <c r="S129" t="s">
        <v>50</v>
      </c>
      <c r="T129">
        <v>3</v>
      </c>
      <c r="U129">
        <v>577.75</v>
      </c>
      <c r="V129">
        <v>0.15</v>
      </c>
      <c r="W129">
        <v>0.15</v>
      </c>
      <c r="X129">
        <v>1473.26</v>
      </c>
      <c r="Y129">
        <f t="shared" si="8"/>
        <v>1473.26</v>
      </c>
      <c r="Z129">
        <v>899.86</v>
      </c>
      <c r="AA129">
        <v>573.4</v>
      </c>
      <c r="AB129">
        <f t="shared" si="13"/>
        <v>573.4</v>
      </c>
      <c r="AC129" s="8">
        <f t="shared" si="14"/>
        <v>0.38920489255121293</v>
      </c>
      <c r="AD129" t="s">
        <v>32</v>
      </c>
      <c r="AE129" t="s">
        <v>33</v>
      </c>
      <c r="AF129" t="str">
        <f t="shared" si="15"/>
        <v>Perfect Match</v>
      </c>
    </row>
    <row r="130" spans="1:32">
      <c r="A130" t="str">
        <f>IF(OR(I130&lt;0, ISTEXT(W130), ISTEXT(Y130)), "Invalid", IF(OR(B130="Conflicting Duplicate", M130="Unknown", S130="Unknown"), "Warning", "Valid"))</f>
        <v>Valid</v>
      </c>
      <c r="B130" t="str">
        <f t="shared" si="9"/>
        <v>-</v>
      </c>
      <c r="C130" t="s">
        <v>799</v>
      </c>
      <c r="D130" s="2">
        <v>45406</v>
      </c>
      <c r="E130" t="str">
        <f t="shared" si="10"/>
        <v>April</v>
      </c>
      <c r="F130">
        <f t="shared" si="11"/>
        <v>2024</v>
      </c>
      <c r="G130" s="2">
        <v>45410</v>
      </c>
      <c r="H130" t="s">
        <v>800</v>
      </c>
      <c r="I130">
        <f t="shared" si="12"/>
        <v>4</v>
      </c>
      <c r="J130" t="s">
        <v>2795</v>
      </c>
      <c r="K130" t="s">
        <v>23</v>
      </c>
      <c r="L130" t="s">
        <v>37</v>
      </c>
      <c r="M130" t="s">
        <v>54</v>
      </c>
      <c r="N130" t="s">
        <v>55</v>
      </c>
      <c r="O130" t="s">
        <v>56</v>
      </c>
      <c r="P130" t="s">
        <v>28</v>
      </c>
      <c r="Q130" t="s">
        <v>91</v>
      </c>
      <c r="R130" t="s">
        <v>801</v>
      </c>
      <c r="S130" t="s">
        <v>31</v>
      </c>
      <c r="T130">
        <v>1</v>
      </c>
      <c r="U130">
        <v>3194.37</v>
      </c>
      <c r="V130">
        <v>0.15</v>
      </c>
      <c r="W130">
        <v>0.15</v>
      </c>
      <c r="X130">
        <v>2715.21</v>
      </c>
      <c r="Y130">
        <f t="shared" ref="Y130:Y193" si="16">IF(ISTEXT(W130), "Cannot Calculate", ROUND(T130 * U130 * (1 - W130), 2))</f>
        <v>2715.21</v>
      </c>
      <c r="Z130">
        <v>1551.55</v>
      </c>
      <c r="AA130">
        <v>1163.6600000000001</v>
      </c>
      <c r="AB130">
        <f t="shared" si="13"/>
        <v>1163.6600000000001</v>
      </c>
      <c r="AC130" s="8">
        <f t="shared" si="14"/>
        <v>0.4285709024348025</v>
      </c>
      <c r="AD130" t="s">
        <v>32</v>
      </c>
      <c r="AE130" t="s">
        <v>33</v>
      </c>
      <c r="AF130" t="str">
        <f t="shared" si="15"/>
        <v>Perfect Match</v>
      </c>
    </row>
    <row r="131" spans="1:32">
      <c r="A131" s="6" t="str">
        <f>IF(OR(I131&lt;0, ISTEXT(W131), ISTEXT(Y131)), "Invalid", IF(OR(B131="Conflicting Duplicate", M131="Unknown", S131="Unknown"), "Warning", "Valid"))</f>
        <v>Invalid</v>
      </c>
      <c r="B131" t="str">
        <f t="shared" ref="B131:B194" si="17">IF(COUNTIF(C:C, C131)&gt;1, "Conflicting Duplicate", "-")</f>
        <v>-</v>
      </c>
      <c r="C131" t="s">
        <v>805</v>
      </c>
      <c r="D131" s="2">
        <v>45440</v>
      </c>
      <c r="E131" t="str">
        <f t="shared" ref="E131:E194" si="18">TEXT(D131, "mmmm")</f>
        <v>May</v>
      </c>
      <c r="F131">
        <f t="shared" ref="F131:F194" si="19">YEAR(D131)</f>
        <v>2024</v>
      </c>
      <c r="G131" s="2">
        <v>45357</v>
      </c>
      <c r="H131" t="s">
        <v>806</v>
      </c>
      <c r="I131" s="7">
        <f t="shared" ref="I131:I194" si="20">G131-D131</f>
        <v>-83</v>
      </c>
      <c r="J131" s="7" t="s">
        <v>2802</v>
      </c>
      <c r="K131" t="s">
        <v>79</v>
      </c>
      <c r="L131" t="s">
        <v>37</v>
      </c>
      <c r="M131" t="s">
        <v>25</v>
      </c>
      <c r="N131" t="s">
        <v>26</v>
      </c>
      <c r="O131" t="s">
        <v>27</v>
      </c>
      <c r="P131" t="s">
        <v>28</v>
      </c>
      <c r="Q131" t="s">
        <v>29</v>
      </c>
      <c r="R131" t="s">
        <v>807</v>
      </c>
      <c r="S131" t="s">
        <v>59</v>
      </c>
      <c r="T131">
        <v>8</v>
      </c>
      <c r="U131">
        <v>1540.33</v>
      </c>
      <c r="V131">
        <v>0.1</v>
      </c>
      <c r="W131">
        <v>0.1</v>
      </c>
      <c r="X131">
        <v>11090.38</v>
      </c>
      <c r="Y131">
        <f t="shared" si="16"/>
        <v>11090.38</v>
      </c>
      <c r="Z131">
        <v>8840.9500000000007</v>
      </c>
      <c r="AA131">
        <v>2249.4299999999998</v>
      </c>
      <c r="AB131">
        <f t="shared" ref="AB131:AB194" si="21">IF(ISTEXT(Y131), "Cannot Calculate", Y131 - Z131)</f>
        <v>2249.4299999999985</v>
      </c>
      <c r="AC131" s="8">
        <f t="shared" ref="AC131:AC194" si="22">IFERROR(AB131 / Y131, 0)</f>
        <v>0.20282713486823703</v>
      </c>
      <c r="AD131" t="s">
        <v>32</v>
      </c>
      <c r="AE131" t="s">
        <v>33</v>
      </c>
      <c r="AF131" t="str">
        <f t="shared" ref="AF131:AF194" si="23">IF(OR(ISTEXT(Z131), ISTEXT(AB131)), "Calculation Blocked", IF(OR(ROUND(X131, 2) &lt;&gt; ROUND(Y131, 2), ROUND(AA131, 2) &lt;&gt; ROUND(AB131, 2)), "Mismatch Found", "Perfect Match"))</f>
        <v>Perfect Match</v>
      </c>
    </row>
    <row r="132" spans="1:32">
      <c r="A132" t="str">
        <f>IF(OR(I132&lt;0, ISTEXT(W132), ISTEXT(Y132)), "Invalid", IF(OR(B132="Conflicting Duplicate", M132="Unknown", S132="Unknown"), "Warning", "Valid"))</f>
        <v>Valid</v>
      </c>
      <c r="B132" t="str">
        <f t="shared" si="17"/>
        <v>-</v>
      </c>
      <c r="C132" t="s">
        <v>808</v>
      </c>
      <c r="D132" s="2">
        <v>45414</v>
      </c>
      <c r="E132" t="str">
        <f t="shared" si="18"/>
        <v>May</v>
      </c>
      <c r="F132">
        <f t="shared" si="19"/>
        <v>2024</v>
      </c>
      <c r="G132" s="2">
        <v>45414</v>
      </c>
      <c r="H132" t="s">
        <v>809</v>
      </c>
      <c r="I132">
        <f t="shared" si="20"/>
        <v>0</v>
      </c>
      <c r="J132" t="s">
        <v>2795</v>
      </c>
      <c r="K132" t="s">
        <v>62</v>
      </c>
      <c r="L132" t="s">
        <v>90</v>
      </c>
      <c r="M132" t="s">
        <v>25</v>
      </c>
      <c r="N132" t="s">
        <v>26</v>
      </c>
      <c r="O132" t="s">
        <v>27</v>
      </c>
      <c r="P132" t="s">
        <v>810</v>
      </c>
      <c r="Q132" t="s">
        <v>91</v>
      </c>
      <c r="R132" t="s">
        <v>811</v>
      </c>
      <c r="S132" t="s">
        <v>50</v>
      </c>
      <c r="T132">
        <v>7</v>
      </c>
      <c r="U132">
        <v>2183.38</v>
      </c>
      <c r="V132">
        <v>0.25</v>
      </c>
      <c r="W132">
        <v>0.25</v>
      </c>
      <c r="X132">
        <v>11462.74</v>
      </c>
      <c r="Y132">
        <f t="shared" si="16"/>
        <v>11462.75</v>
      </c>
      <c r="Z132">
        <v>7163.54</v>
      </c>
      <c r="AA132">
        <v>4299.2</v>
      </c>
      <c r="AB132">
        <f t="shared" si="21"/>
        <v>4299.21</v>
      </c>
      <c r="AC132" s="8">
        <f t="shared" si="22"/>
        <v>0.37505921353950838</v>
      </c>
      <c r="AD132" t="s">
        <v>102</v>
      </c>
      <c r="AE132" t="s">
        <v>68</v>
      </c>
      <c r="AF132" t="str">
        <f t="shared" si="23"/>
        <v>Mismatch Found</v>
      </c>
    </row>
    <row r="133" spans="1:32">
      <c r="A133" s="6" t="str">
        <f>IF(OR(I133&lt;0, ISTEXT(W133), ISTEXT(Y133)), "Invalid", IF(OR(B133="Conflicting Duplicate", M133="Unknown", S133="Unknown"), "Warning", "Valid"))</f>
        <v>Warning</v>
      </c>
      <c r="B133" t="str">
        <f t="shared" si="17"/>
        <v>-</v>
      </c>
      <c r="C133" t="s">
        <v>815</v>
      </c>
      <c r="D133" s="2">
        <v>45579</v>
      </c>
      <c r="E133" t="str">
        <f t="shared" si="18"/>
        <v>October</v>
      </c>
      <c r="F133">
        <f t="shared" si="19"/>
        <v>2024</v>
      </c>
      <c r="G133" s="2">
        <v>45579</v>
      </c>
      <c r="H133" t="s">
        <v>816</v>
      </c>
      <c r="I133">
        <f t="shared" si="20"/>
        <v>0</v>
      </c>
      <c r="J133" t="s">
        <v>2795</v>
      </c>
      <c r="K133" t="s">
        <v>71</v>
      </c>
      <c r="L133" t="s">
        <v>90</v>
      </c>
      <c r="M133" t="s">
        <v>54</v>
      </c>
      <c r="N133" t="s">
        <v>175</v>
      </c>
      <c r="O133" t="s">
        <v>176</v>
      </c>
      <c r="P133" t="s">
        <v>41</v>
      </c>
      <c r="Q133" t="s">
        <v>158</v>
      </c>
      <c r="R133" t="s">
        <v>817</v>
      </c>
      <c r="S133" s="4" t="s">
        <v>2790</v>
      </c>
      <c r="T133">
        <v>8</v>
      </c>
      <c r="U133">
        <v>3904.59</v>
      </c>
      <c r="V133">
        <v>0</v>
      </c>
      <c r="W133">
        <v>0</v>
      </c>
      <c r="X133">
        <v>31236.720000000001</v>
      </c>
      <c r="Y133">
        <f t="shared" si="16"/>
        <v>31236.720000000001</v>
      </c>
      <c r="Z133">
        <v>26377.7</v>
      </c>
      <c r="AA133">
        <v>4859.0200000000004</v>
      </c>
      <c r="AB133">
        <f t="shared" si="21"/>
        <v>4859.0200000000004</v>
      </c>
      <c r="AC133" s="8">
        <f t="shared" si="22"/>
        <v>0.15555474454424154</v>
      </c>
      <c r="AD133" t="s">
        <v>32</v>
      </c>
      <c r="AE133" t="s">
        <v>33</v>
      </c>
      <c r="AF133" t="str">
        <f t="shared" si="23"/>
        <v>Perfect Match</v>
      </c>
    </row>
    <row r="134" spans="1:32">
      <c r="A134" t="str">
        <f>IF(OR(I134&lt;0, ISTEXT(W134), ISTEXT(Y134)), "Invalid", IF(OR(B134="Conflicting Duplicate", M134="Unknown", S134="Unknown"), "Warning", "Valid"))</f>
        <v>Valid</v>
      </c>
      <c r="B134" t="str">
        <f t="shared" si="17"/>
        <v>-</v>
      </c>
      <c r="C134" t="s">
        <v>818</v>
      </c>
      <c r="D134" s="2">
        <v>45537</v>
      </c>
      <c r="E134" t="str">
        <f t="shared" si="18"/>
        <v>September</v>
      </c>
      <c r="F134">
        <f t="shared" si="19"/>
        <v>2024</v>
      </c>
      <c r="G134" s="2">
        <v>45538</v>
      </c>
      <c r="H134" t="s">
        <v>819</v>
      </c>
      <c r="I134">
        <f t="shared" si="20"/>
        <v>1</v>
      </c>
      <c r="J134" t="s">
        <v>2795</v>
      </c>
      <c r="K134" t="s">
        <v>264</v>
      </c>
      <c r="L134" t="s">
        <v>95</v>
      </c>
      <c r="M134" t="s">
        <v>25</v>
      </c>
      <c r="N134" t="s">
        <v>350</v>
      </c>
      <c r="O134" t="s">
        <v>351</v>
      </c>
      <c r="P134" t="s">
        <v>41</v>
      </c>
      <c r="Q134" t="s">
        <v>57</v>
      </c>
      <c r="R134" t="s">
        <v>820</v>
      </c>
      <c r="S134" t="s">
        <v>50</v>
      </c>
      <c r="T134">
        <v>9</v>
      </c>
      <c r="U134">
        <v>1353.61</v>
      </c>
      <c r="V134">
        <v>0.1</v>
      </c>
      <c r="W134">
        <v>0.1</v>
      </c>
      <c r="X134">
        <v>10964.24</v>
      </c>
      <c r="Y134">
        <f t="shared" si="16"/>
        <v>10964.24</v>
      </c>
      <c r="Z134">
        <v>9262.4699999999993</v>
      </c>
      <c r="AA134">
        <v>1701.77</v>
      </c>
      <c r="AB134">
        <f t="shared" si="21"/>
        <v>1701.7700000000004</v>
      </c>
      <c r="AC134" s="8">
        <f t="shared" si="22"/>
        <v>0.15521094029317128</v>
      </c>
      <c r="AD134" t="s">
        <v>32</v>
      </c>
      <c r="AE134" t="s">
        <v>33</v>
      </c>
      <c r="AF134" t="str">
        <f t="shared" si="23"/>
        <v>Perfect Match</v>
      </c>
    </row>
    <row r="135" spans="1:32">
      <c r="A135" t="str">
        <f>IF(OR(I135&lt;0, ISTEXT(W135), ISTEXT(Y135)), "Invalid", IF(OR(B135="Conflicting Duplicate", M135="Unknown", S135="Unknown"), "Warning", "Valid"))</f>
        <v>Valid</v>
      </c>
      <c r="B135" t="str">
        <f t="shared" si="17"/>
        <v>-</v>
      </c>
      <c r="C135" t="s">
        <v>821</v>
      </c>
      <c r="D135" s="2">
        <v>45598</v>
      </c>
      <c r="E135" t="str">
        <f t="shared" si="18"/>
        <v>November</v>
      </c>
      <c r="F135">
        <f t="shared" si="19"/>
        <v>2024</v>
      </c>
      <c r="G135" s="2">
        <v>45599</v>
      </c>
      <c r="H135" t="s">
        <v>822</v>
      </c>
      <c r="I135">
        <f t="shared" si="20"/>
        <v>1</v>
      </c>
      <c r="J135" t="s">
        <v>2795</v>
      </c>
      <c r="K135" t="s">
        <v>118</v>
      </c>
      <c r="L135" t="s">
        <v>37</v>
      </c>
      <c r="M135" t="s">
        <v>63</v>
      </c>
      <c r="N135" t="s">
        <v>26</v>
      </c>
      <c r="O135" t="s">
        <v>109</v>
      </c>
      <c r="P135" t="s">
        <v>28</v>
      </c>
      <c r="Q135" t="s">
        <v>124</v>
      </c>
      <c r="R135" t="s">
        <v>823</v>
      </c>
      <c r="S135" t="s">
        <v>59</v>
      </c>
      <c r="T135">
        <v>6</v>
      </c>
      <c r="U135">
        <v>2671.29</v>
      </c>
      <c r="V135">
        <v>0.05</v>
      </c>
      <c r="W135">
        <v>0.05</v>
      </c>
      <c r="X135">
        <v>15226.35</v>
      </c>
      <c r="Y135">
        <f t="shared" si="16"/>
        <v>15226.35</v>
      </c>
      <c r="Z135">
        <v>11145.28</v>
      </c>
      <c r="AA135">
        <v>4081.07</v>
      </c>
      <c r="AB135">
        <f t="shared" si="21"/>
        <v>4081.0699999999997</v>
      </c>
      <c r="AC135" s="8">
        <f t="shared" si="22"/>
        <v>0.26802680878871166</v>
      </c>
      <c r="AD135" t="s">
        <v>32</v>
      </c>
      <c r="AE135" t="s">
        <v>33</v>
      </c>
      <c r="AF135" t="str">
        <f t="shared" si="23"/>
        <v>Perfect Match</v>
      </c>
    </row>
    <row r="136" spans="1:32">
      <c r="A136" t="str">
        <f>IF(OR(I136&lt;0, ISTEXT(W136), ISTEXT(Y136)), "Invalid", IF(OR(B136="Conflicting Duplicate", M136="Unknown", S136="Unknown"), "Warning", "Valid"))</f>
        <v>Valid</v>
      </c>
      <c r="B136" t="str">
        <f t="shared" si="17"/>
        <v>-</v>
      </c>
      <c r="C136" t="s">
        <v>824</v>
      </c>
      <c r="D136" s="2">
        <v>45579</v>
      </c>
      <c r="E136" t="str">
        <f t="shared" si="18"/>
        <v>October</v>
      </c>
      <c r="F136">
        <f t="shared" si="19"/>
        <v>2024</v>
      </c>
      <c r="G136" s="2">
        <v>45586</v>
      </c>
      <c r="H136" t="s">
        <v>825</v>
      </c>
      <c r="I136">
        <f t="shared" si="20"/>
        <v>7</v>
      </c>
      <c r="J136" t="s">
        <v>2795</v>
      </c>
      <c r="K136" t="s">
        <v>114</v>
      </c>
      <c r="L136" t="s">
        <v>90</v>
      </c>
      <c r="M136" t="s">
        <v>25</v>
      </c>
      <c r="N136" t="s">
        <v>136</v>
      </c>
      <c r="O136" t="s">
        <v>137</v>
      </c>
      <c r="P136" t="s">
        <v>41</v>
      </c>
      <c r="Q136" t="s">
        <v>158</v>
      </c>
      <c r="R136" t="s">
        <v>826</v>
      </c>
      <c r="S136" t="s">
        <v>50</v>
      </c>
      <c r="T136">
        <v>6</v>
      </c>
      <c r="U136">
        <v>4062.78</v>
      </c>
      <c r="V136">
        <v>0</v>
      </c>
      <c r="W136">
        <v>0</v>
      </c>
      <c r="X136">
        <v>24376.68</v>
      </c>
      <c r="Y136">
        <f t="shared" si="16"/>
        <v>24376.68</v>
      </c>
      <c r="Z136">
        <v>18533.39</v>
      </c>
      <c r="AA136">
        <v>5843.29</v>
      </c>
      <c r="AB136">
        <f t="shared" si="21"/>
        <v>5843.2900000000009</v>
      </c>
      <c r="AC136" s="8">
        <f t="shared" si="22"/>
        <v>0.23970819652224998</v>
      </c>
      <c r="AD136" t="s">
        <v>32</v>
      </c>
      <c r="AE136" t="s">
        <v>33</v>
      </c>
      <c r="AF136" t="str">
        <f t="shared" si="23"/>
        <v>Perfect Match</v>
      </c>
    </row>
    <row r="137" spans="1:32">
      <c r="A137" t="str">
        <f>IF(OR(I137&lt;0, ISTEXT(W137), ISTEXT(Y137)), "Invalid", IF(OR(B137="Conflicting Duplicate", M137="Unknown", S137="Unknown"), "Warning", "Valid"))</f>
        <v>Valid</v>
      </c>
      <c r="B137" t="str">
        <f t="shared" si="17"/>
        <v>-</v>
      </c>
      <c r="C137" t="s">
        <v>827</v>
      </c>
      <c r="D137" s="2">
        <v>45531</v>
      </c>
      <c r="E137" t="str">
        <f t="shared" si="18"/>
        <v>August</v>
      </c>
      <c r="F137">
        <f t="shared" si="19"/>
        <v>2024</v>
      </c>
      <c r="G137" s="2">
        <v>45531</v>
      </c>
      <c r="H137" t="s">
        <v>828</v>
      </c>
      <c r="I137">
        <f t="shared" si="20"/>
        <v>0</v>
      </c>
      <c r="J137" t="s">
        <v>2795</v>
      </c>
      <c r="K137" t="s">
        <v>36</v>
      </c>
      <c r="L137" t="s">
        <v>24</v>
      </c>
      <c r="M137" t="s">
        <v>25</v>
      </c>
      <c r="N137" t="s">
        <v>236</v>
      </c>
      <c r="O137" t="s">
        <v>237</v>
      </c>
      <c r="P137" t="s">
        <v>74</v>
      </c>
      <c r="Q137" t="s">
        <v>80</v>
      </c>
      <c r="R137" t="s">
        <v>829</v>
      </c>
      <c r="S137" t="s">
        <v>59</v>
      </c>
      <c r="T137">
        <v>9</v>
      </c>
      <c r="U137">
        <v>2330.3000000000002</v>
      </c>
      <c r="V137">
        <v>0</v>
      </c>
      <c r="W137">
        <v>0</v>
      </c>
      <c r="X137">
        <v>20972.7</v>
      </c>
      <c r="Y137">
        <f t="shared" si="16"/>
        <v>20972.7</v>
      </c>
      <c r="Z137">
        <v>13504.88</v>
      </c>
      <c r="AA137">
        <v>7467.82</v>
      </c>
      <c r="AB137">
        <f t="shared" si="21"/>
        <v>7467.8200000000015</v>
      </c>
      <c r="AC137" s="8">
        <f t="shared" si="22"/>
        <v>0.35607337157352181</v>
      </c>
      <c r="AD137" t="s">
        <v>32</v>
      </c>
      <c r="AE137" t="s">
        <v>33</v>
      </c>
      <c r="AF137" t="str">
        <f t="shared" si="23"/>
        <v>Perfect Match</v>
      </c>
    </row>
    <row r="138" spans="1:32">
      <c r="A138" s="6" t="str">
        <f>IF(OR(I138&lt;0, ISTEXT(W138), ISTEXT(Y138)), "Invalid", IF(OR(B138="Conflicting Duplicate", M138="Unknown", S138="Unknown"), "Warning", "Valid"))</f>
        <v>Invalid</v>
      </c>
      <c r="B138" t="str">
        <f t="shared" si="17"/>
        <v>-</v>
      </c>
      <c r="C138" t="s">
        <v>830</v>
      </c>
      <c r="D138" s="2">
        <v>45303</v>
      </c>
      <c r="E138" t="str">
        <f t="shared" si="18"/>
        <v>January</v>
      </c>
      <c r="F138">
        <f t="shared" si="19"/>
        <v>2024</v>
      </c>
      <c r="G138" s="2">
        <v>45308</v>
      </c>
      <c r="H138" t="s">
        <v>831</v>
      </c>
      <c r="I138">
        <f t="shared" si="20"/>
        <v>5</v>
      </c>
      <c r="J138" t="s">
        <v>2795</v>
      </c>
      <c r="K138" t="s">
        <v>53</v>
      </c>
      <c r="L138" t="s">
        <v>24</v>
      </c>
      <c r="M138" t="s">
        <v>54</v>
      </c>
      <c r="N138" t="s">
        <v>84</v>
      </c>
      <c r="O138" t="s">
        <v>85</v>
      </c>
      <c r="P138" t="s">
        <v>28</v>
      </c>
      <c r="Q138" t="s">
        <v>124</v>
      </c>
      <c r="R138" t="s">
        <v>832</v>
      </c>
      <c r="S138" t="s">
        <v>50</v>
      </c>
      <c r="T138">
        <v>7</v>
      </c>
      <c r="U138">
        <v>4005.05</v>
      </c>
      <c r="V138">
        <v>0.55000000000000004</v>
      </c>
      <c r="W138" s="4" t="s">
        <v>2794</v>
      </c>
      <c r="X138">
        <v>26633.58</v>
      </c>
      <c r="Y138" s="4" t="str">
        <f t="shared" si="16"/>
        <v>Cannot Calculate</v>
      </c>
      <c r="Z138">
        <v>18838.75</v>
      </c>
      <c r="AA138">
        <v>7794.83</v>
      </c>
      <c r="AB138" s="4" t="str">
        <f t="shared" si="21"/>
        <v>Cannot Calculate</v>
      </c>
      <c r="AC138" s="9">
        <f t="shared" si="22"/>
        <v>0</v>
      </c>
      <c r="AD138" t="s">
        <v>32</v>
      </c>
      <c r="AE138" t="s">
        <v>33</v>
      </c>
      <c r="AF138" t="str">
        <f t="shared" si="23"/>
        <v>Calculation Blocked</v>
      </c>
    </row>
    <row r="139" spans="1:32">
      <c r="A139" t="str">
        <f>IF(OR(I139&lt;0, ISTEXT(W139), ISTEXT(Y139)), "Invalid", IF(OR(B139="Conflicting Duplicate", M139="Unknown", S139="Unknown"), "Warning", "Valid"))</f>
        <v>Valid</v>
      </c>
      <c r="B139" t="str">
        <f t="shared" si="17"/>
        <v>-</v>
      </c>
      <c r="C139" t="s">
        <v>833</v>
      </c>
      <c r="D139" s="2">
        <v>45556</v>
      </c>
      <c r="E139" t="str">
        <f t="shared" si="18"/>
        <v>September</v>
      </c>
      <c r="F139">
        <f t="shared" si="19"/>
        <v>2024</v>
      </c>
      <c r="G139" s="2">
        <v>45556</v>
      </c>
      <c r="H139" t="s">
        <v>834</v>
      </c>
      <c r="I139">
        <f t="shared" si="20"/>
        <v>0</v>
      </c>
      <c r="J139" t="s">
        <v>2795</v>
      </c>
      <c r="K139" t="s">
        <v>264</v>
      </c>
      <c r="L139" t="s">
        <v>90</v>
      </c>
      <c r="M139" t="s">
        <v>54</v>
      </c>
      <c r="N139" t="s">
        <v>175</v>
      </c>
      <c r="O139" t="s">
        <v>176</v>
      </c>
      <c r="P139" t="s">
        <v>74</v>
      </c>
      <c r="Q139" t="s">
        <v>274</v>
      </c>
      <c r="R139" t="s">
        <v>835</v>
      </c>
      <c r="S139" t="s">
        <v>50</v>
      </c>
      <c r="T139">
        <v>2</v>
      </c>
      <c r="U139">
        <v>1960.06</v>
      </c>
      <c r="V139">
        <v>0.2</v>
      </c>
      <c r="W139">
        <v>0.2</v>
      </c>
      <c r="X139">
        <v>3136.1</v>
      </c>
      <c r="Y139">
        <f t="shared" si="16"/>
        <v>3136.1</v>
      </c>
      <c r="Z139">
        <v>2279.4899999999998</v>
      </c>
      <c r="AA139">
        <v>856.61</v>
      </c>
      <c r="AB139">
        <f t="shared" si="21"/>
        <v>856.61000000000013</v>
      </c>
      <c r="AC139" s="8">
        <f t="shared" si="22"/>
        <v>0.27314498899907536</v>
      </c>
      <c r="AD139" t="s">
        <v>32</v>
      </c>
      <c r="AE139" t="s">
        <v>33</v>
      </c>
      <c r="AF139" t="str">
        <f t="shared" si="23"/>
        <v>Perfect Match</v>
      </c>
    </row>
    <row r="140" spans="1:32">
      <c r="A140" t="str">
        <f>IF(OR(I140&lt;0, ISTEXT(W140), ISTEXT(Y140)), "Invalid", IF(OR(B140="Conflicting Duplicate", M140="Unknown", S140="Unknown"), "Warning", "Valid"))</f>
        <v>Valid</v>
      </c>
      <c r="B140" t="str">
        <f t="shared" si="17"/>
        <v>-</v>
      </c>
      <c r="C140" t="s">
        <v>836</v>
      </c>
      <c r="D140" s="2">
        <v>45643</v>
      </c>
      <c r="E140" t="str">
        <f t="shared" si="18"/>
        <v>December</v>
      </c>
      <c r="F140">
        <f t="shared" si="19"/>
        <v>2024</v>
      </c>
      <c r="G140" s="2">
        <v>45649</v>
      </c>
      <c r="H140" t="s">
        <v>837</v>
      </c>
      <c r="I140">
        <f t="shared" si="20"/>
        <v>6</v>
      </c>
      <c r="J140" t="s">
        <v>2795</v>
      </c>
      <c r="K140" t="s">
        <v>128</v>
      </c>
      <c r="L140" t="s">
        <v>90</v>
      </c>
      <c r="M140" t="s">
        <v>54</v>
      </c>
      <c r="N140" t="s">
        <v>55</v>
      </c>
      <c r="O140" t="s">
        <v>56</v>
      </c>
      <c r="P140" t="s">
        <v>28</v>
      </c>
      <c r="Q140" t="s">
        <v>153</v>
      </c>
      <c r="R140" t="s">
        <v>838</v>
      </c>
      <c r="S140" t="s">
        <v>50</v>
      </c>
      <c r="T140">
        <v>9</v>
      </c>
      <c r="U140">
        <v>2315.1</v>
      </c>
      <c r="V140">
        <v>0</v>
      </c>
      <c r="W140">
        <v>0</v>
      </c>
      <c r="X140">
        <v>20835.900000000001</v>
      </c>
      <c r="Y140">
        <f t="shared" si="16"/>
        <v>20835.900000000001</v>
      </c>
      <c r="Z140">
        <v>13928.19</v>
      </c>
      <c r="AA140">
        <v>6907.71</v>
      </c>
      <c r="AB140">
        <f t="shared" si="21"/>
        <v>6907.7100000000009</v>
      </c>
      <c r="AC140" s="8">
        <f t="shared" si="22"/>
        <v>0.33152923559817432</v>
      </c>
      <c r="AD140" t="s">
        <v>32</v>
      </c>
      <c r="AE140" t="s">
        <v>33</v>
      </c>
      <c r="AF140" t="str">
        <f t="shared" si="23"/>
        <v>Perfect Match</v>
      </c>
    </row>
    <row r="141" spans="1:32">
      <c r="A141" t="str">
        <f>IF(OR(I141&lt;0, ISTEXT(W141), ISTEXT(Y141)), "Invalid", IF(OR(B141="Conflicting Duplicate", M141="Unknown", S141="Unknown"), "Warning", "Valid"))</f>
        <v>Valid</v>
      </c>
      <c r="B141" t="str">
        <f t="shared" si="17"/>
        <v>-</v>
      </c>
      <c r="C141" t="s">
        <v>848</v>
      </c>
      <c r="D141" s="2">
        <v>45527</v>
      </c>
      <c r="E141" t="str">
        <f t="shared" si="18"/>
        <v>August</v>
      </c>
      <c r="F141">
        <f t="shared" si="19"/>
        <v>2024</v>
      </c>
      <c r="G141" s="2">
        <v>45528</v>
      </c>
      <c r="H141" t="s">
        <v>849</v>
      </c>
      <c r="I141">
        <f t="shared" si="20"/>
        <v>1</v>
      </c>
      <c r="J141" t="s">
        <v>2795</v>
      </c>
      <c r="K141" t="s">
        <v>79</v>
      </c>
      <c r="L141" t="s">
        <v>24</v>
      </c>
      <c r="M141" t="s">
        <v>54</v>
      </c>
      <c r="N141" t="s">
        <v>55</v>
      </c>
      <c r="O141" t="s">
        <v>56</v>
      </c>
      <c r="P141" t="s">
        <v>41</v>
      </c>
      <c r="Q141" t="s">
        <v>158</v>
      </c>
      <c r="R141" t="s">
        <v>850</v>
      </c>
      <c r="S141" t="s">
        <v>44</v>
      </c>
      <c r="T141">
        <v>6</v>
      </c>
      <c r="U141">
        <v>1021.89</v>
      </c>
      <c r="V141">
        <v>0</v>
      </c>
      <c r="W141">
        <v>0</v>
      </c>
      <c r="X141">
        <v>6131.34</v>
      </c>
      <c r="Y141">
        <f t="shared" si="16"/>
        <v>6131.34</v>
      </c>
      <c r="Z141">
        <v>4060.88</v>
      </c>
      <c r="AA141">
        <v>2070.46</v>
      </c>
      <c r="AB141">
        <f t="shared" si="21"/>
        <v>2070.46</v>
      </c>
      <c r="AC141" s="8">
        <f t="shared" si="22"/>
        <v>0.33768474754295147</v>
      </c>
      <c r="AD141" t="s">
        <v>32</v>
      </c>
      <c r="AE141" t="s">
        <v>33</v>
      </c>
      <c r="AF141" t="str">
        <f t="shared" si="23"/>
        <v>Perfect Match</v>
      </c>
    </row>
    <row r="142" spans="1:32">
      <c r="A142" t="str">
        <f>IF(OR(I142&lt;0, ISTEXT(W142), ISTEXT(Y142)), "Invalid", IF(OR(B142="Conflicting Duplicate", M142="Unknown", S142="Unknown"), "Warning", "Valid"))</f>
        <v>Valid</v>
      </c>
      <c r="B142" t="str">
        <f t="shared" si="17"/>
        <v>-</v>
      </c>
      <c r="C142" t="s">
        <v>851</v>
      </c>
      <c r="D142" s="2">
        <v>45583</v>
      </c>
      <c r="E142" t="str">
        <f t="shared" si="18"/>
        <v>October</v>
      </c>
      <c r="F142">
        <f t="shared" si="19"/>
        <v>2024</v>
      </c>
      <c r="G142" s="2">
        <v>45589</v>
      </c>
      <c r="H142" t="s">
        <v>852</v>
      </c>
      <c r="I142">
        <f t="shared" si="20"/>
        <v>6</v>
      </c>
      <c r="J142" t="s">
        <v>2795</v>
      </c>
      <c r="K142" t="s">
        <v>79</v>
      </c>
      <c r="L142" t="s">
        <v>95</v>
      </c>
      <c r="M142" t="s">
        <v>54</v>
      </c>
      <c r="N142" t="s">
        <v>185</v>
      </c>
      <c r="O142" t="s">
        <v>186</v>
      </c>
      <c r="P142" t="s">
        <v>853</v>
      </c>
      <c r="Q142" t="s">
        <v>66</v>
      </c>
      <c r="R142" t="s">
        <v>854</v>
      </c>
      <c r="S142" t="s">
        <v>31</v>
      </c>
      <c r="T142">
        <v>3</v>
      </c>
      <c r="U142">
        <v>3275.93</v>
      </c>
      <c r="V142">
        <v>0</v>
      </c>
      <c r="W142">
        <v>0</v>
      </c>
      <c r="X142">
        <v>9827.7900000000009</v>
      </c>
      <c r="Y142">
        <f t="shared" si="16"/>
        <v>9827.7900000000009</v>
      </c>
      <c r="Z142">
        <v>5478.28</v>
      </c>
      <c r="AA142">
        <v>4349.51</v>
      </c>
      <c r="AB142">
        <f t="shared" si="21"/>
        <v>4349.5100000000011</v>
      </c>
      <c r="AC142" s="8">
        <f t="shared" si="22"/>
        <v>0.44257254174132749</v>
      </c>
      <c r="AD142" t="s">
        <v>32</v>
      </c>
      <c r="AE142" t="s">
        <v>33</v>
      </c>
      <c r="AF142" t="str">
        <f t="shared" si="23"/>
        <v>Perfect Match</v>
      </c>
    </row>
    <row r="143" spans="1:32">
      <c r="A143" t="str">
        <f>IF(OR(I143&lt;0, ISTEXT(W143), ISTEXT(Y143)), "Invalid", IF(OR(B143="Conflicting Duplicate", M143="Unknown", S143="Unknown"), "Warning", "Valid"))</f>
        <v>Valid</v>
      </c>
      <c r="B143" t="str">
        <f t="shared" si="17"/>
        <v>-</v>
      </c>
      <c r="C143" t="s">
        <v>855</v>
      </c>
      <c r="D143" s="2">
        <v>45416</v>
      </c>
      <c r="E143" t="str">
        <f t="shared" si="18"/>
        <v>May</v>
      </c>
      <c r="F143">
        <f t="shared" si="19"/>
        <v>2024</v>
      </c>
      <c r="G143" s="2">
        <v>45421</v>
      </c>
      <c r="H143" t="s">
        <v>856</v>
      </c>
      <c r="I143">
        <f t="shared" si="20"/>
        <v>5</v>
      </c>
      <c r="J143" t="s">
        <v>2795</v>
      </c>
      <c r="K143" t="s">
        <v>62</v>
      </c>
      <c r="L143" t="s">
        <v>90</v>
      </c>
      <c r="M143" t="s">
        <v>25</v>
      </c>
      <c r="N143" t="s">
        <v>122</v>
      </c>
      <c r="O143" t="s">
        <v>123</v>
      </c>
      <c r="P143" t="s">
        <v>74</v>
      </c>
      <c r="Q143" t="s">
        <v>274</v>
      </c>
      <c r="R143" t="s">
        <v>857</v>
      </c>
      <c r="S143" t="s">
        <v>44</v>
      </c>
      <c r="T143">
        <v>3</v>
      </c>
      <c r="U143">
        <v>231.95</v>
      </c>
      <c r="V143">
        <v>0.25</v>
      </c>
      <c r="W143">
        <v>0.25</v>
      </c>
      <c r="X143">
        <v>521.89</v>
      </c>
      <c r="Y143">
        <f t="shared" si="16"/>
        <v>521.89</v>
      </c>
      <c r="Z143">
        <v>444.52</v>
      </c>
      <c r="AA143">
        <v>77.37</v>
      </c>
      <c r="AB143">
        <f t="shared" si="21"/>
        <v>77.37</v>
      </c>
      <c r="AC143" s="8">
        <f t="shared" si="22"/>
        <v>0.14824963114832629</v>
      </c>
      <c r="AD143" t="s">
        <v>102</v>
      </c>
      <c r="AE143" t="s">
        <v>68</v>
      </c>
      <c r="AF143" t="str">
        <f t="shared" si="23"/>
        <v>Perfect Match</v>
      </c>
    </row>
    <row r="144" spans="1:32">
      <c r="A144" t="str">
        <f>IF(OR(I144&lt;0, ISTEXT(W144), ISTEXT(Y144)), "Invalid", IF(OR(B144="Conflicting Duplicate", M144="Unknown", S144="Unknown"), "Warning", "Valid"))</f>
        <v>Valid</v>
      </c>
      <c r="B144" t="str">
        <f t="shared" si="17"/>
        <v>-</v>
      </c>
      <c r="C144" t="s">
        <v>858</v>
      </c>
      <c r="D144" s="2">
        <v>45498</v>
      </c>
      <c r="E144" t="str">
        <f t="shared" si="18"/>
        <v>July</v>
      </c>
      <c r="F144">
        <f t="shared" si="19"/>
        <v>2024</v>
      </c>
      <c r="G144" s="2">
        <v>45505</v>
      </c>
      <c r="H144" t="s">
        <v>859</v>
      </c>
      <c r="I144">
        <f t="shared" si="20"/>
        <v>7</v>
      </c>
      <c r="J144" t="s">
        <v>2795</v>
      </c>
      <c r="K144" t="s">
        <v>118</v>
      </c>
      <c r="L144" t="s">
        <v>90</v>
      </c>
      <c r="M144" t="s">
        <v>25</v>
      </c>
      <c r="N144" t="s">
        <v>26</v>
      </c>
      <c r="O144" t="s">
        <v>27</v>
      </c>
      <c r="P144" t="s">
        <v>74</v>
      </c>
      <c r="Q144" t="s">
        <v>75</v>
      </c>
      <c r="R144" t="s">
        <v>860</v>
      </c>
      <c r="S144" t="s">
        <v>31</v>
      </c>
      <c r="T144">
        <v>8</v>
      </c>
      <c r="U144">
        <v>2493.4</v>
      </c>
      <c r="V144">
        <v>0.25</v>
      </c>
      <c r="W144">
        <v>0.25</v>
      </c>
      <c r="X144">
        <v>14960.4</v>
      </c>
      <c r="Y144">
        <f t="shared" si="16"/>
        <v>14960.4</v>
      </c>
      <c r="Z144">
        <v>12500.84</v>
      </c>
      <c r="AA144">
        <v>2459.56</v>
      </c>
      <c r="AB144">
        <f t="shared" si="21"/>
        <v>2459.5599999999995</v>
      </c>
      <c r="AC144" s="8">
        <f t="shared" si="22"/>
        <v>0.16440469506162933</v>
      </c>
      <c r="AD144" t="s">
        <v>32</v>
      </c>
      <c r="AE144" t="s">
        <v>33</v>
      </c>
      <c r="AF144" t="str">
        <f t="shared" si="23"/>
        <v>Perfect Match</v>
      </c>
    </row>
    <row r="145" spans="1:32">
      <c r="A145" t="str">
        <f>IF(OR(I145&lt;0, ISTEXT(W145), ISTEXT(Y145)), "Invalid", IF(OR(B145="Conflicting Duplicate", M145="Unknown", S145="Unknown"), "Warning", "Valid"))</f>
        <v>Valid</v>
      </c>
      <c r="B145" t="str">
        <f t="shared" si="17"/>
        <v>-</v>
      </c>
      <c r="C145" t="s">
        <v>861</v>
      </c>
      <c r="D145" s="2">
        <v>45445</v>
      </c>
      <c r="E145" t="str">
        <f t="shared" si="18"/>
        <v>June</v>
      </c>
      <c r="F145">
        <f t="shared" si="19"/>
        <v>2024</v>
      </c>
      <c r="G145" s="2">
        <v>45479</v>
      </c>
      <c r="H145" t="s">
        <v>862</v>
      </c>
      <c r="I145">
        <f t="shared" si="20"/>
        <v>34</v>
      </c>
      <c r="J145" t="s">
        <v>2795</v>
      </c>
      <c r="K145" t="s">
        <v>141</v>
      </c>
      <c r="L145" t="s">
        <v>95</v>
      </c>
      <c r="M145" t="s">
        <v>38</v>
      </c>
      <c r="N145" t="s">
        <v>39</v>
      </c>
      <c r="O145" t="s">
        <v>40</v>
      </c>
      <c r="P145" t="s">
        <v>28</v>
      </c>
      <c r="Q145" t="s">
        <v>91</v>
      </c>
      <c r="R145" t="s">
        <v>863</v>
      </c>
      <c r="S145" t="s">
        <v>31</v>
      </c>
      <c r="T145">
        <v>9</v>
      </c>
      <c r="U145">
        <v>787.91</v>
      </c>
      <c r="V145">
        <v>0.15</v>
      </c>
      <c r="W145">
        <v>0.15</v>
      </c>
      <c r="X145">
        <v>6027.51</v>
      </c>
      <c r="Y145">
        <f t="shared" si="16"/>
        <v>6027.51</v>
      </c>
      <c r="Z145">
        <v>4883.82</v>
      </c>
      <c r="AA145">
        <v>1143.69</v>
      </c>
      <c r="AB145">
        <f t="shared" si="21"/>
        <v>1143.6900000000005</v>
      </c>
      <c r="AC145" s="8">
        <f t="shared" si="22"/>
        <v>0.18974501908748395</v>
      </c>
      <c r="AD145" t="s">
        <v>32</v>
      </c>
      <c r="AE145" t="s">
        <v>33</v>
      </c>
      <c r="AF145" t="str">
        <f t="shared" si="23"/>
        <v>Perfect Match</v>
      </c>
    </row>
    <row r="146" spans="1:32">
      <c r="A146" t="str">
        <f>IF(OR(I146&lt;0, ISTEXT(W146), ISTEXT(Y146)), "Invalid", IF(OR(B146="Conflicting Duplicate", M146="Unknown", S146="Unknown"), "Warning", "Valid"))</f>
        <v>Valid</v>
      </c>
      <c r="B146" t="str">
        <f t="shared" si="17"/>
        <v>-</v>
      </c>
      <c r="C146" t="s">
        <v>867</v>
      </c>
      <c r="D146" s="2">
        <v>45343</v>
      </c>
      <c r="E146" t="str">
        <f t="shared" si="18"/>
        <v>February</v>
      </c>
      <c r="F146">
        <f t="shared" si="19"/>
        <v>2024</v>
      </c>
      <c r="G146" s="2">
        <v>45349</v>
      </c>
      <c r="H146" t="s">
        <v>868</v>
      </c>
      <c r="I146">
        <f t="shared" si="20"/>
        <v>6</v>
      </c>
      <c r="J146" t="s">
        <v>2795</v>
      </c>
      <c r="K146" t="s">
        <v>53</v>
      </c>
      <c r="L146" t="s">
        <v>37</v>
      </c>
      <c r="M146" t="s">
        <v>38</v>
      </c>
      <c r="N146" t="s">
        <v>99</v>
      </c>
      <c r="O146" t="s">
        <v>100</v>
      </c>
      <c r="P146" t="s">
        <v>41</v>
      </c>
      <c r="Q146" t="s">
        <v>57</v>
      </c>
      <c r="R146" t="s">
        <v>869</v>
      </c>
      <c r="S146" t="s">
        <v>59</v>
      </c>
      <c r="T146">
        <v>5</v>
      </c>
      <c r="U146">
        <v>3373.86</v>
      </c>
      <c r="V146">
        <v>0.15</v>
      </c>
      <c r="W146">
        <v>0.15</v>
      </c>
      <c r="X146">
        <v>14338.9</v>
      </c>
      <c r="Y146">
        <f t="shared" si="16"/>
        <v>14338.91</v>
      </c>
      <c r="Z146">
        <v>11897.65</v>
      </c>
      <c r="AA146">
        <v>2441.25</v>
      </c>
      <c r="AB146">
        <f t="shared" si="21"/>
        <v>2441.2600000000002</v>
      </c>
      <c r="AC146" s="8">
        <f t="shared" si="22"/>
        <v>0.17025422434480725</v>
      </c>
      <c r="AD146" t="s">
        <v>111</v>
      </c>
      <c r="AE146" t="s">
        <v>103</v>
      </c>
      <c r="AF146" t="str">
        <f t="shared" si="23"/>
        <v>Mismatch Found</v>
      </c>
    </row>
    <row r="147" spans="1:32">
      <c r="A147" t="str">
        <f>IF(OR(I147&lt;0, ISTEXT(W147), ISTEXT(Y147)), "Invalid", IF(OR(B147="Conflicting Duplicate", M147="Unknown", S147="Unknown"), "Warning", "Valid"))</f>
        <v>Valid</v>
      </c>
      <c r="B147" t="str">
        <f t="shared" si="17"/>
        <v>-</v>
      </c>
      <c r="C147" t="s">
        <v>876</v>
      </c>
      <c r="D147" s="2">
        <v>45547</v>
      </c>
      <c r="E147" t="str">
        <f t="shared" si="18"/>
        <v>September</v>
      </c>
      <c r="F147">
        <f t="shared" si="19"/>
        <v>2024</v>
      </c>
      <c r="G147" s="2">
        <v>45548</v>
      </c>
      <c r="H147" t="s">
        <v>877</v>
      </c>
      <c r="I147">
        <f t="shared" si="20"/>
        <v>1</v>
      </c>
      <c r="J147" t="s">
        <v>2795</v>
      </c>
      <c r="K147" t="s">
        <v>114</v>
      </c>
      <c r="L147" t="s">
        <v>37</v>
      </c>
      <c r="M147" t="s">
        <v>25</v>
      </c>
      <c r="N147" t="s">
        <v>26</v>
      </c>
      <c r="O147" t="s">
        <v>27</v>
      </c>
      <c r="P147" t="s">
        <v>74</v>
      </c>
      <c r="Q147" t="s">
        <v>171</v>
      </c>
      <c r="R147" t="s">
        <v>878</v>
      </c>
      <c r="S147" t="s">
        <v>44</v>
      </c>
      <c r="T147">
        <v>6</v>
      </c>
      <c r="U147">
        <v>832.79</v>
      </c>
      <c r="V147">
        <v>0.05</v>
      </c>
      <c r="W147">
        <v>0.05</v>
      </c>
      <c r="X147">
        <v>4746.8999999999996</v>
      </c>
      <c r="Y147">
        <f t="shared" si="16"/>
        <v>4746.8999999999996</v>
      </c>
      <c r="Z147">
        <v>2825.38</v>
      </c>
      <c r="AA147">
        <v>1472.89</v>
      </c>
      <c r="AB147">
        <f t="shared" si="21"/>
        <v>1921.5199999999995</v>
      </c>
      <c r="AC147" s="8">
        <f t="shared" si="22"/>
        <v>0.40479470812530277</v>
      </c>
      <c r="AD147" t="s">
        <v>102</v>
      </c>
      <c r="AE147" t="s">
        <v>68</v>
      </c>
      <c r="AF147" t="str">
        <f t="shared" si="23"/>
        <v>Mismatch Found</v>
      </c>
    </row>
    <row r="148" spans="1:32">
      <c r="A148" s="6" t="str">
        <f>IF(OR(I148&lt;0, ISTEXT(W148), ISTEXT(Y148)), "Invalid", IF(OR(B148="Conflicting Duplicate", M148="Unknown", S148="Unknown"), "Warning", "Valid"))</f>
        <v>Invalid</v>
      </c>
      <c r="B148" t="str">
        <f t="shared" si="17"/>
        <v>-</v>
      </c>
      <c r="C148" t="s">
        <v>885</v>
      </c>
      <c r="D148" s="2">
        <v>45601</v>
      </c>
      <c r="E148" t="str">
        <f t="shared" si="18"/>
        <v>November</v>
      </c>
      <c r="F148">
        <f t="shared" si="19"/>
        <v>2024</v>
      </c>
      <c r="G148" s="2">
        <v>45599</v>
      </c>
      <c r="H148" t="s">
        <v>886</v>
      </c>
      <c r="I148" s="7">
        <f t="shared" si="20"/>
        <v>-2</v>
      </c>
      <c r="J148" s="7" t="s">
        <v>2802</v>
      </c>
      <c r="K148" t="s">
        <v>62</v>
      </c>
      <c r="L148" t="s">
        <v>24</v>
      </c>
      <c r="M148" t="s">
        <v>38</v>
      </c>
      <c r="N148" t="s">
        <v>99</v>
      </c>
      <c r="O148" t="s">
        <v>100</v>
      </c>
      <c r="P148" t="s">
        <v>41</v>
      </c>
      <c r="Q148" t="s">
        <v>42</v>
      </c>
      <c r="R148" t="s">
        <v>887</v>
      </c>
      <c r="S148" t="s">
        <v>50</v>
      </c>
      <c r="T148">
        <v>9</v>
      </c>
      <c r="U148">
        <v>2260.61</v>
      </c>
      <c r="V148">
        <v>0.05</v>
      </c>
      <c r="W148">
        <v>0.05</v>
      </c>
      <c r="X148">
        <v>19328.22</v>
      </c>
      <c r="Y148">
        <f t="shared" si="16"/>
        <v>19328.22</v>
      </c>
      <c r="Z148">
        <v>12039.5</v>
      </c>
      <c r="AA148">
        <v>7288.72</v>
      </c>
      <c r="AB148">
        <f t="shared" si="21"/>
        <v>7288.7200000000012</v>
      </c>
      <c r="AC148" s="8">
        <f t="shared" si="22"/>
        <v>0.37710249572904286</v>
      </c>
      <c r="AD148" t="s">
        <v>32</v>
      </c>
      <c r="AE148" t="s">
        <v>33</v>
      </c>
      <c r="AF148" t="str">
        <f t="shared" si="23"/>
        <v>Perfect Match</v>
      </c>
    </row>
    <row r="149" spans="1:32">
      <c r="A149" t="str">
        <f>IF(OR(I149&lt;0, ISTEXT(W149), ISTEXT(Y149)), "Invalid", IF(OR(B149="Conflicting Duplicate", M149="Unknown", S149="Unknown"), "Warning", "Valid"))</f>
        <v>Valid</v>
      </c>
      <c r="B149" t="str">
        <f t="shared" si="17"/>
        <v>-</v>
      </c>
      <c r="C149" t="s">
        <v>891</v>
      </c>
      <c r="D149" s="2">
        <v>45656</v>
      </c>
      <c r="E149" t="str">
        <f t="shared" si="18"/>
        <v>December</v>
      </c>
      <c r="F149">
        <f t="shared" si="19"/>
        <v>2024</v>
      </c>
      <c r="G149" s="2">
        <v>45661</v>
      </c>
      <c r="H149" t="s">
        <v>892</v>
      </c>
      <c r="I149">
        <f t="shared" si="20"/>
        <v>5</v>
      </c>
      <c r="J149" t="s">
        <v>2795</v>
      </c>
      <c r="K149" t="s">
        <v>132</v>
      </c>
      <c r="L149" t="s">
        <v>90</v>
      </c>
      <c r="M149" t="s">
        <v>54</v>
      </c>
      <c r="N149" t="s">
        <v>247</v>
      </c>
      <c r="O149" t="s">
        <v>248</v>
      </c>
      <c r="P149" t="s">
        <v>41</v>
      </c>
      <c r="Q149" t="s">
        <v>42</v>
      </c>
      <c r="R149" t="s">
        <v>893</v>
      </c>
      <c r="S149" t="s">
        <v>44</v>
      </c>
      <c r="T149">
        <v>2</v>
      </c>
      <c r="U149">
        <v>3720.07</v>
      </c>
      <c r="V149">
        <v>0.25</v>
      </c>
      <c r="W149">
        <v>0.25</v>
      </c>
      <c r="X149">
        <v>5580.11</v>
      </c>
      <c r="Y149">
        <f t="shared" si="16"/>
        <v>5580.11</v>
      </c>
      <c r="Z149">
        <v>4307.01</v>
      </c>
      <c r="AA149">
        <v>1273.0999999999999</v>
      </c>
      <c r="AB149">
        <f t="shared" si="21"/>
        <v>1273.0999999999995</v>
      </c>
      <c r="AC149" s="8">
        <f t="shared" si="22"/>
        <v>0.22814962429056049</v>
      </c>
      <c r="AD149" t="s">
        <v>32</v>
      </c>
      <c r="AE149" t="s">
        <v>33</v>
      </c>
      <c r="AF149" t="str">
        <f t="shared" si="23"/>
        <v>Perfect Match</v>
      </c>
    </row>
    <row r="150" spans="1:32">
      <c r="A150" t="str">
        <f>IF(OR(I150&lt;0, ISTEXT(W150), ISTEXT(Y150)), "Invalid", IF(OR(B150="Conflicting Duplicate", M150="Unknown", S150="Unknown"), "Warning", "Valid"))</f>
        <v>Valid</v>
      </c>
      <c r="B150" t="str">
        <f t="shared" si="17"/>
        <v>-</v>
      </c>
      <c r="C150" t="s">
        <v>894</v>
      </c>
      <c r="D150" s="2">
        <v>45464</v>
      </c>
      <c r="E150" t="str">
        <f t="shared" si="18"/>
        <v>June</v>
      </c>
      <c r="F150">
        <f t="shared" si="19"/>
        <v>2024</v>
      </c>
      <c r="G150" s="2">
        <v>45472</v>
      </c>
      <c r="H150" t="s">
        <v>895</v>
      </c>
      <c r="I150">
        <f t="shared" si="20"/>
        <v>8</v>
      </c>
      <c r="J150" t="s">
        <v>2795</v>
      </c>
      <c r="K150" t="s">
        <v>79</v>
      </c>
      <c r="L150" t="s">
        <v>24</v>
      </c>
      <c r="M150" t="s">
        <v>54</v>
      </c>
      <c r="N150" t="s">
        <v>247</v>
      </c>
      <c r="O150" t="s">
        <v>248</v>
      </c>
      <c r="P150" t="s">
        <v>74</v>
      </c>
      <c r="Q150" t="s">
        <v>274</v>
      </c>
      <c r="R150" t="s">
        <v>896</v>
      </c>
      <c r="S150" t="s">
        <v>59</v>
      </c>
      <c r="T150">
        <v>8</v>
      </c>
      <c r="U150">
        <v>2853.92</v>
      </c>
      <c r="V150">
        <v>0.2</v>
      </c>
      <c r="W150">
        <v>0.2</v>
      </c>
      <c r="X150">
        <v>18265.09</v>
      </c>
      <c r="Y150">
        <f t="shared" si="16"/>
        <v>18265.09</v>
      </c>
      <c r="Z150">
        <v>10437.14</v>
      </c>
      <c r="AA150">
        <v>7827.95</v>
      </c>
      <c r="AB150">
        <f t="shared" si="21"/>
        <v>7827.9500000000007</v>
      </c>
      <c r="AC150" s="8">
        <f t="shared" si="22"/>
        <v>0.42857440067363484</v>
      </c>
      <c r="AD150" t="s">
        <v>32</v>
      </c>
      <c r="AE150" t="s">
        <v>33</v>
      </c>
      <c r="AF150" t="str">
        <f t="shared" si="23"/>
        <v>Perfect Match</v>
      </c>
    </row>
    <row r="151" spans="1:32">
      <c r="A151" t="str">
        <f>IF(OR(I151&lt;0, ISTEXT(W151), ISTEXT(Y151)), "Invalid", IF(OR(B151="Conflicting Duplicate", M151="Unknown", S151="Unknown"), "Warning", "Valid"))</f>
        <v>Valid</v>
      </c>
      <c r="B151" t="str">
        <f t="shared" si="17"/>
        <v>-</v>
      </c>
      <c r="C151" t="s">
        <v>908</v>
      </c>
      <c r="D151" s="2">
        <v>45428</v>
      </c>
      <c r="E151" t="str">
        <f t="shared" si="18"/>
        <v>May</v>
      </c>
      <c r="F151">
        <f t="shared" si="19"/>
        <v>2024</v>
      </c>
      <c r="G151" s="2">
        <v>45433</v>
      </c>
      <c r="H151" t="s">
        <v>909</v>
      </c>
      <c r="I151">
        <f t="shared" si="20"/>
        <v>5</v>
      </c>
      <c r="J151" t="s">
        <v>2795</v>
      </c>
      <c r="K151" t="s">
        <v>162</v>
      </c>
      <c r="L151" t="s">
        <v>37</v>
      </c>
      <c r="M151" t="s">
        <v>38</v>
      </c>
      <c r="N151" t="s">
        <v>145</v>
      </c>
      <c r="O151" t="s">
        <v>146</v>
      </c>
      <c r="P151" t="s">
        <v>74</v>
      </c>
      <c r="Q151" t="s">
        <v>80</v>
      </c>
      <c r="R151" t="s">
        <v>910</v>
      </c>
      <c r="S151" t="s">
        <v>59</v>
      </c>
      <c r="T151">
        <v>4</v>
      </c>
      <c r="U151">
        <v>1503.07</v>
      </c>
      <c r="V151">
        <v>0</v>
      </c>
      <c r="W151">
        <v>0</v>
      </c>
      <c r="X151">
        <v>6012.28</v>
      </c>
      <c r="Y151">
        <f t="shared" si="16"/>
        <v>6012.28</v>
      </c>
      <c r="Z151">
        <v>3927.64</v>
      </c>
      <c r="AA151">
        <v>2084.64</v>
      </c>
      <c r="AB151">
        <f t="shared" si="21"/>
        <v>2084.64</v>
      </c>
      <c r="AC151" s="8">
        <f t="shared" si="22"/>
        <v>0.34673035853286938</v>
      </c>
      <c r="AD151" t="s">
        <v>32</v>
      </c>
      <c r="AE151" t="s">
        <v>33</v>
      </c>
      <c r="AF151" t="str">
        <f t="shared" si="23"/>
        <v>Perfect Match</v>
      </c>
    </row>
    <row r="152" spans="1:32">
      <c r="A152" t="str">
        <f>IF(OR(I152&lt;0, ISTEXT(W152), ISTEXT(Y152)), "Invalid", IF(OR(B152="Conflicting Duplicate", M152="Unknown", S152="Unknown"), "Warning", "Valid"))</f>
        <v>Valid</v>
      </c>
      <c r="B152" t="str">
        <f t="shared" si="17"/>
        <v>-</v>
      </c>
      <c r="C152" t="s">
        <v>911</v>
      </c>
      <c r="D152" s="2">
        <v>45610</v>
      </c>
      <c r="E152" t="str">
        <f t="shared" si="18"/>
        <v>November</v>
      </c>
      <c r="F152">
        <f t="shared" si="19"/>
        <v>2024</v>
      </c>
      <c r="G152" s="2">
        <v>45618</v>
      </c>
      <c r="H152" t="s">
        <v>912</v>
      </c>
      <c r="I152">
        <f t="shared" si="20"/>
        <v>8</v>
      </c>
      <c r="J152" t="s">
        <v>2795</v>
      </c>
      <c r="K152" t="s">
        <v>114</v>
      </c>
      <c r="L152" t="s">
        <v>90</v>
      </c>
      <c r="M152" t="s">
        <v>38</v>
      </c>
      <c r="N152" t="s">
        <v>145</v>
      </c>
      <c r="O152" t="s">
        <v>146</v>
      </c>
      <c r="P152" t="s">
        <v>41</v>
      </c>
      <c r="Q152" t="s">
        <v>158</v>
      </c>
      <c r="R152" t="s">
        <v>913</v>
      </c>
      <c r="S152" t="s">
        <v>44</v>
      </c>
      <c r="T152">
        <v>1</v>
      </c>
      <c r="U152">
        <v>582.37</v>
      </c>
      <c r="V152">
        <v>0.15</v>
      </c>
      <c r="W152">
        <v>0.15</v>
      </c>
      <c r="X152">
        <v>495.01</v>
      </c>
      <c r="Y152">
        <f t="shared" si="16"/>
        <v>495.01</v>
      </c>
      <c r="Z152">
        <v>285.13</v>
      </c>
      <c r="AA152">
        <v>209.88</v>
      </c>
      <c r="AB152">
        <f t="shared" si="21"/>
        <v>209.88</v>
      </c>
      <c r="AC152" s="8">
        <f t="shared" si="22"/>
        <v>0.42399143451647442</v>
      </c>
      <c r="AD152" t="s">
        <v>102</v>
      </c>
      <c r="AE152" t="s">
        <v>68</v>
      </c>
      <c r="AF152" t="str">
        <f t="shared" si="23"/>
        <v>Perfect Match</v>
      </c>
    </row>
    <row r="153" spans="1:32">
      <c r="A153" t="str">
        <f>IF(OR(I153&lt;0, ISTEXT(W153), ISTEXT(Y153)), "Invalid", IF(OR(B153="Conflicting Duplicate", M153="Unknown", S153="Unknown"), "Warning", "Valid"))</f>
        <v>Valid</v>
      </c>
      <c r="B153" t="str">
        <f t="shared" si="17"/>
        <v>-</v>
      </c>
      <c r="C153" t="s">
        <v>926</v>
      </c>
      <c r="D153" s="2">
        <v>45303</v>
      </c>
      <c r="E153" t="str">
        <f t="shared" si="18"/>
        <v>January</v>
      </c>
      <c r="F153">
        <f t="shared" si="19"/>
        <v>2024</v>
      </c>
      <c r="G153" s="2">
        <v>45304</v>
      </c>
      <c r="H153" t="s">
        <v>927</v>
      </c>
      <c r="I153">
        <f t="shared" si="20"/>
        <v>1</v>
      </c>
      <c r="J153" t="s">
        <v>2795</v>
      </c>
      <c r="K153" t="s">
        <v>89</v>
      </c>
      <c r="L153" t="s">
        <v>90</v>
      </c>
      <c r="M153" t="s">
        <v>25</v>
      </c>
      <c r="N153" t="s">
        <v>136</v>
      </c>
      <c r="O153" t="s">
        <v>137</v>
      </c>
      <c r="P153" t="s">
        <v>74</v>
      </c>
      <c r="Q153" t="s">
        <v>274</v>
      </c>
      <c r="R153" t="s">
        <v>928</v>
      </c>
      <c r="S153" t="s">
        <v>44</v>
      </c>
      <c r="T153">
        <v>3</v>
      </c>
      <c r="U153">
        <v>827.44</v>
      </c>
      <c r="V153">
        <v>0</v>
      </c>
      <c r="W153">
        <v>0</v>
      </c>
      <c r="X153">
        <v>2482.3200000000002</v>
      </c>
      <c r="Y153">
        <f t="shared" si="16"/>
        <v>2482.3200000000002</v>
      </c>
      <c r="Z153">
        <v>1520.21</v>
      </c>
      <c r="AA153">
        <v>962.11</v>
      </c>
      <c r="AB153">
        <f t="shared" si="21"/>
        <v>962.11000000000013</v>
      </c>
      <c r="AC153" s="8">
        <f t="shared" si="22"/>
        <v>0.38758500112797706</v>
      </c>
      <c r="AD153" t="s">
        <v>32</v>
      </c>
      <c r="AE153" t="s">
        <v>33</v>
      </c>
      <c r="AF153" t="str">
        <f t="shared" si="23"/>
        <v>Perfect Match</v>
      </c>
    </row>
    <row r="154" spans="1:32">
      <c r="A154" t="str">
        <f>IF(OR(I154&lt;0, ISTEXT(W154), ISTEXT(Y154)), "Invalid", IF(OR(B154="Conflicting Duplicate", M154="Unknown", S154="Unknown"), "Warning", "Valid"))</f>
        <v>Valid</v>
      </c>
      <c r="B154" t="str">
        <f t="shared" si="17"/>
        <v>-</v>
      </c>
      <c r="C154" t="s">
        <v>929</v>
      </c>
      <c r="D154" s="2">
        <v>45647</v>
      </c>
      <c r="E154" t="str">
        <f t="shared" si="18"/>
        <v>December</v>
      </c>
      <c r="F154">
        <f t="shared" si="19"/>
        <v>2024</v>
      </c>
      <c r="G154" s="2">
        <v>45651</v>
      </c>
      <c r="H154" t="s">
        <v>930</v>
      </c>
      <c r="I154">
        <f t="shared" si="20"/>
        <v>4</v>
      </c>
      <c r="J154" t="s">
        <v>2795</v>
      </c>
      <c r="K154" t="s">
        <v>89</v>
      </c>
      <c r="L154" t="s">
        <v>24</v>
      </c>
      <c r="M154" t="s">
        <v>54</v>
      </c>
      <c r="N154" t="s">
        <v>55</v>
      </c>
      <c r="O154" t="s">
        <v>56</v>
      </c>
      <c r="P154" t="s">
        <v>28</v>
      </c>
      <c r="Q154" t="s">
        <v>153</v>
      </c>
      <c r="R154" t="s">
        <v>931</v>
      </c>
      <c r="S154" t="s">
        <v>59</v>
      </c>
      <c r="T154">
        <v>7</v>
      </c>
      <c r="U154">
        <v>1667.75</v>
      </c>
      <c r="V154">
        <v>0</v>
      </c>
      <c r="W154">
        <v>0</v>
      </c>
      <c r="X154">
        <v>11674.25</v>
      </c>
      <c r="Y154">
        <f t="shared" si="16"/>
        <v>11674.25</v>
      </c>
      <c r="Z154">
        <v>9621.19</v>
      </c>
      <c r="AA154">
        <v>2053.06</v>
      </c>
      <c r="AB154">
        <f t="shared" si="21"/>
        <v>2053.0599999999995</v>
      </c>
      <c r="AC154" s="8">
        <f t="shared" si="22"/>
        <v>0.17586226095894808</v>
      </c>
      <c r="AD154" t="s">
        <v>155</v>
      </c>
      <c r="AE154" t="s">
        <v>68</v>
      </c>
      <c r="AF154" t="str">
        <f t="shared" si="23"/>
        <v>Perfect Match</v>
      </c>
    </row>
    <row r="155" spans="1:32">
      <c r="A155" s="6" t="str">
        <f>IF(OR(I155&lt;0, ISTEXT(W155), ISTEXT(Y155)), "Invalid", IF(OR(B155="Conflicting Duplicate", M155="Unknown", S155="Unknown"), "Warning", "Valid"))</f>
        <v>Warning</v>
      </c>
      <c r="B155" t="str">
        <f t="shared" si="17"/>
        <v>Conflicting Duplicate</v>
      </c>
      <c r="C155" t="s">
        <v>932</v>
      </c>
      <c r="D155" s="2">
        <v>45522</v>
      </c>
      <c r="E155" t="str">
        <f t="shared" si="18"/>
        <v>August</v>
      </c>
      <c r="F155">
        <f t="shared" si="19"/>
        <v>2024</v>
      </c>
      <c r="G155" s="2">
        <v>45528</v>
      </c>
      <c r="H155" t="s">
        <v>933</v>
      </c>
      <c r="I155">
        <f t="shared" si="20"/>
        <v>6</v>
      </c>
      <c r="J155" t="s">
        <v>2795</v>
      </c>
      <c r="K155" t="s">
        <v>53</v>
      </c>
      <c r="L155" t="s">
        <v>24</v>
      </c>
      <c r="M155" t="s">
        <v>54</v>
      </c>
      <c r="N155" t="s">
        <v>84</v>
      </c>
      <c r="O155" t="s">
        <v>85</v>
      </c>
      <c r="P155" t="s">
        <v>41</v>
      </c>
      <c r="Q155" t="s">
        <v>66</v>
      </c>
      <c r="R155" t="s">
        <v>934</v>
      </c>
      <c r="S155" t="s">
        <v>50</v>
      </c>
      <c r="T155">
        <v>7</v>
      </c>
      <c r="U155">
        <v>557.21</v>
      </c>
      <c r="V155">
        <v>0.1</v>
      </c>
      <c r="W155">
        <v>0.1</v>
      </c>
      <c r="X155">
        <v>3510.42</v>
      </c>
      <c r="Y155">
        <f t="shared" si="16"/>
        <v>3510.42</v>
      </c>
      <c r="Z155">
        <v>2191.5</v>
      </c>
      <c r="AA155">
        <v>1213.48</v>
      </c>
      <c r="AB155">
        <f t="shared" si="21"/>
        <v>1318.92</v>
      </c>
      <c r="AC155" s="8">
        <f t="shared" si="22"/>
        <v>0.37571572632334593</v>
      </c>
      <c r="AD155" t="s">
        <v>32</v>
      </c>
      <c r="AE155" t="s">
        <v>33</v>
      </c>
      <c r="AF155" t="str">
        <f t="shared" si="23"/>
        <v>Mismatch Found</v>
      </c>
    </row>
    <row r="156" spans="1:32">
      <c r="A156" s="6" t="str">
        <f>IF(OR(I156&lt;0, ISTEXT(W156), ISTEXT(Y156)), "Invalid", IF(OR(B156="Conflicting Duplicate", M156="Unknown", S156="Unknown"), "Warning", "Valid"))</f>
        <v>Warning</v>
      </c>
      <c r="B156" t="str">
        <f t="shared" si="17"/>
        <v>Conflicting Duplicate</v>
      </c>
      <c r="C156" t="s">
        <v>932</v>
      </c>
      <c r="D156" s="2">
        <v>45522</v>
      </c>
      <c r="E156" t="str">
        <f t="shared" si="18"/>
        <v>August</v>
      </c>
      <c r="F156">
        <f t="shared" si="19"/>
        <v>2024</v>
      </c>
      <c r="G156" s="2">
        <v>45528</v>
      </c>
      <c r="H156" t="s">
        <v>933</v>
      </c>
      <c r="I156">
        <f t="shared" si="20"/>
        <v>6</v>
      </c>
      <c r="J156" t="s">
        <v>2795</v>
      </c>
      <c r="K156" t="s">
        <v>53</v>
      </c>
      <c r="L156" t="s">
        <v>24</v>
      </c>
      <c r="M156" t="s">
        <v>54</v>
      </c>
      <c r="N156" t="s">
        <v>84</v>
      </c>
      <c r="O156" t="s">
        <v>85</v>
      </c>
      <c r="P156" t="s">
        <v>41</v>
      </c>
      <c r="Q156" t="s">
        <v>66</v>
      </c>
      <c r="R156" t="s">
        <v>934</v>
      </c>
      <c r="S156" t="s">
        <v>50</v>
      </c>
      <c r="T156">
        <v>7</v>
      </c>
      <c r="U156">
        <v>557.21</v>
      </c>
      <c r="V156">
        <v>0.1</v>
      </c>
      <c r="W156">
        <v>0.1</v>
      </c>
      <c r="X156">
        <v>3797.79</v>
      </c>
      <c r="Y156">
        <f t="shared" si="16"/>
        <v>3510.42</v>
      </c>
      <c r="Z156">
        <v>2191.5</v>
      </c>
      <c r="AA156">
        <v>1213.48</v>
      </c>
      <c r="AB156">
        <f t="shared" si="21"/>
        <v>1318.92</v>
      </c>
      <c r="AC156" s="8">
        <f t="shared" si="22"/>
        <v>0.37571572632334593</v>
      </c>
      <c r="AD156" t="s">
        <v>32</v>
      </c>
      <c r="AE156" t="s">
        <v>103</v>
      </c>
      <c r="AF156" t="str">
        <f t="shared" si="23"/>
        <v>Mismatch Found</v>
      </c>
    </row>
    <row r="157" spans="1:32">
      <c r="A157" s="6" t="str">
        <f>IF(OR(I157&lt;0, ISTEXT(W157), ISTEXT(Y157)), "Invalid", IF(OR(B157="Conflicting Duplicate", M157="Unknown", S157="Unknown"), "Warning", "Valid"))</f>
        <v>Invalid</v>
      </c>
      <c r="B157" t="str">
        <f t="shared" si="17"/>
        <v>-</v>
      </c>
      <c r="C157" t="s">
        <v>938</v>
      </c>
      <c r="D157" s="2">
        <v>45477</v>
      </c>
      <c r="E157" t="str">
        <f t="shared" si="18"/>
        <v>July</v>
      </c>
      <c r="F157">
        <f t="shared" si="19"/>
        <v>2024</v>
      </c>
      <c r="G157" s="2">
        <v>45396</v>
      </c>
      <c r="H157" t="s">
        <v>939</v>
      </c>
      <c r="I157" s="7">
        <f t="shared" si="20"/>
        <v>-81</v>
      </c>
      <c r="J157" s="7" t="s">
        <v>2802</v>
      </c>
      <c r="K157" t="s">
        <v>141</v>
      </c>
      <c r="L157" t="s">
        <v>24</v>
      </c>
      <c r="M157" t="s">
        <v>54</v>
      </c>
      <c r="N157" t="s">
        <v>185</v>
      </c>
      <c r="O157" t="s">
        <v>186</v>
      </c>
      <c r="P157" t="s">
        <v>74</v>
      </c>
      <c r="Q157" t="s">
        <v>80</v>
      </c>
      <c r="R157" t="s">
        <v>940</v>
      </c>
      <c r="S157" t="s">
        <v>59</v>
      </c>
      <c r="T157">
        <v>6</v>
      </c>
      <c r="U157">
        <v>4246.71</v>
      </c>
      <c r="V157">
        <v>0.15</v>
      </c>
      <c r="W157">
        <v>0.15</v>
      </c>
      <c r="X157">
        <v>21658.22</v>
      </c>
      <c r="Y157">
        <f t="shared" si="16"/>
        <v>21658.22</v>
      </c>
      <c r="Z157">
        <v>15490.69</v>
      </c>
      <c r="AA157">
        <v>6167.53</v>
      </c>
      <c r="AB157">
        <f t="shared" si="21"/>
        <v>6167.5300000000007</v>
      </c>
      <c r="AC157" s="8">
        <f t="shared" si="22"/>
        <v>0.28476624579489912</v>
      </c>
      <c r="AD157" t="s">
        <v>155</v>
      </c>
      <c r="AE157" t="s">
        <v>103</v>
      </c>
      <c r="AF157" t="str">
        <f t="shared" si="23"/>
        <v>Perfect Match</v>
      </c>
    </row>
    <row r="158" spans="1:32">
      <c r="A158" t="str">
        <f>IF(OR(I158&lt;0, ISTEXT(W158), ISTEXT(Y158)), "Invalid", IF(OR(B158="Conflicting Duplicate", M158="Unknown", S158="Unknown"), "Warning", "Valid"))</f>
        <v>Valid</v>
      </c>
      <c r="B158" t="str">
        <f t="shared" si="17"/>
        <v>-</v>
      </c>
      <c r="C158" t="s">
        <v>941</v>
      </c>
      <c r="D158" s="2">
        <v>45337</v>
      </c>
      <c r="E158" t="str">
        <f t="shared" si="18"/>
        <v>February</v>
      </c>
      <c r="F158">
        <f t="shared" si="19"/>
        <v>2024</v>
      </c>
      <c r="G158" s="2">
        <v>45344</v>
      </c>
      <c r="H158" t="s">
        <v>942</v>
      </c>
      <c r="I158">
        <f t="shared" si="20"/>
        <v>7</v>
      </c>
      <c r="J158" t="s">
        <v>2795</v>
      </c>
      <c r="K158" t="s">
        <v>114</v>
      </c>
      <c r="L158" t="s">
        <v>37</v>
      </c>
      <c r="M158" t="s">
        <v>38</v>
      </c>
      <c r="N158" t="s">
        <v>99</v>
      </c>
      <c r="O158" t="s">
        <v>100</v>
      </c>
      <c r="P158" t="s">
        <v>41</v>
      </c>
      <c r="Q158" t="s">
        <v>57</v>
      </c>
      <c r="R158" t="s">
        <v>943</v>
      </c>
      <c r="S158" t="s">
        <v>44</v>
      </c>
      <c r="T158">
        <v>1</v>
      </c>
      <c r="U158">
        <v>980.51</v>
      </c>
      <c r="V158">
        <v>0</v>
      </c>
      <c r="W158">
        <v>0</v>
      </c>
      <c r="X158">
        <v>980.51</v>
      </c>
      <c r="Y158">
        <f t="shared" si="16"/>
        <v>980.51</v>
      </c>
      <c r="Z158">
        <v>660.92</v>
      </c>
      <c r="AA158">
        <v>319.58999999999997</v>
      </c>
      <c r="AB158">
        <f t="shared" si="21"/>
        <v>319.59000000000003</v>
      </c>
      <c r="AC158" s="8">
        <f t="shared" si="22"/>
        <v>0.32594262169687205</v>
      </c>
      <c r="AD158" t="s">
        <v>32</v>
      </c>
      <c r="AE158" t="s">
        <v>33</v>
      </c>
      <c r="AF158" t="str">
        <f t="shared" si="23"/>
        <v>Perfect Match</v>
      </c>
    </row>
    <row r="159" spans="1:32">
      <c r="A159" s="6" t="str">
        <f>IF(OR(I159&lt;0, ISTEXT(W159), ISTEXT(Y159)), "Invalid", IF(OR(B159="Conflicting Duplicate", M159="Unknown", S159="Unknown"), "Warning", "Valid"))</f>
        <v>Invalid</v>
      </c>
      <c r="B159" t="str">
        <f t="shared" si="17"/>
        <v>-</v>
      </c>
      <c r="C159" t="s">
        <v>944</v>
      </c>
      <c r="D159" s="2">
        <v>45313</v>
      </c>
      <c r="E159" t="str">
        <f t="shared" si="18"/>
        <v>January</v>
      </c>
      <c r="F159">
        <f t="shared" si="19"/>
        <v>2024</v>
      </c>
      <c r="G159" s="2">
        <v>45314</v>
      </c>
      <c r="H159" t="s">
        <v>945</v>
      </c>
      <c r="I159">
        <f t="shared" si="20"/>
        <v>1</v>
      </c>
      <c r="J159" t="s">
        <v>2795</v>
      </c>
      <c r="K159" t="s">
        <v>128</v>
      </c>
      <c r="L159" t="s">
        <v>37</v>
      </c>
      <c r="M159" s="4" t="s">
        <v>2790</v>
      </c>
      <c r="N159" t="s">
        <v>166</v>
      </c>
      <c r="O159" t="s">
        <v>167</v>
      </c>
      <c r="P159" t="s">
        <v>41</v>
      </c>
      <c r="Q159" t="s">
        <v>66</v>
      </c>
      <c r="R159" t="s">
        <v>946</v>
      </c>
      <c r="S159" t="s">
        <v>31</v>
      </c>
      <c r="T159">
        <v>6</v>
      </c>
      <c r="U159">
        <v>3391.53</v>
      </c>
      <c r="V159">
        <v>-0.14000000000000001</v>
      </c>
      <c r="W159" s="4" t="s">
        <v>2794</v>
      </c>
      <c r="X159">
        <v>15261.89</v>
      </c>
      <c r="Y159" s="4" t="str">
        <f t="shared" si="16"/>
        <v>Cannot Calculate</v>
      </c>
      <c r="Z159">
        <v>8413.5300000000007</v>
      </c>
      <c r="AA159">
        <v>6848.36</v>
      </c>
      <c r="AB159" s="4" t="str">
        <f t="shared" si="21"/>
        <v>Cannot Calculate</v>
      </c>
      <c r="AC159" s="9">
        <f t="shared" si="22"/>
        <v>0</v>
      </c>
      <c r="AD159" t="s">
        <v>32</v>
      </c>
      <c r="AE159" t="s">
        <v>33</v>
      </c>
      <c r="AF159" t="str">
        <f t="shared" si="23"/>
        <v>Calculation Blocked</v>
      </c>
    </row>
    <row r="160" spans="1:32">
      <c r="A160" t="str">
        <f>IF(OR(I160&lt;0, ISTEXT(W160), ISTEXT(Y160)), "Invalid", IF(OR(B160="Conflicting Duplicate", M160="Unknown", S160="Unknown"), "Warning", "Valid"))</f>
        <v>Valid</v>
      </c>
      <c r="B160" t="str">
        <f t="shared" si="17"/>
        <v>-</v>
      </c>
      <c r="C160" t="s">
        <v>952</v>
      </c>
      <c r="D160" s="2">
        <v>45391</v>
      </c>
      <c r="E160" t="str">
        <f t="shared" si="18"/>
        <v>April</v>
      </c>
      <c r="F160">
        <f t="shared" si="19"/>
        <v>2024</v>
      </c>
      <c r="G160" s="2">
        <v>45392</v>
      </c>
      <c r="H160" t="s">
        <v>953</v>
      </c>
      <c r="I160">
        <f t="shared" si="20"/>
        <v>1</v>
      </c>
      <c r="J160" t="s">
        <v>2795</v>
      </c>
      <c r="K160" t="s">
        <v>141</v>
      </c>
      <c r="L160" t="s">
        <v>37</v>
      </c>
      <c r="M160" t="s">
        <v>63</v>
      </c>
      <c r="N160" t="s">
        <v>64</v>
      </c>
      <c r="O160" t="s">
        <v>65</v>
      </c>
      <c r="P160" t="s">
        <v>28</v>
      </c>
      <c r="Q160" t="s">
        <v>124</v>
      </c>
      <c r="R160" t="s">
        <v>954</v>
      </c>
      <c r="S160" t="s">
        <v>50</v>
      </c>
      <c r="T160">
        <v>1</v>
      </c>
      <c r="U160">
        <v>4359.12</v>
      </c>
      <c r="V160">
        <v>0.05</v>
      </c>
      <c r="W160">
        <v>0.05</v>
      </c>
      <c r="X160">
        <v>4141.16</v>
      </c>
      <c r="Y160">
        <f t="shared" si="16"/>
        <v>4141.16</v>
      </c>
      <c r="Z160">
        <v>2754.17</v>
      </c>
      <c r="AA160">
        <v>1386.99</v>
      </c>
      <c r="AB160">
        <f t="shared" si="21"/>
        <v>1386.9899999999998</v>
      </c>
      <c r="AC160" s="8">
        <f t="shared" si="22"/>
        <v>0.33492789459958078</v>
      </c>
      <c r="AD160" t="s">
        <v>32</v>
      </c>
      <c r="AE160" t="s">
        <v>33</v>
      </c>
      <c r="AF160" t="str">
        <f t="shared" si="23"/>
        <v>Perfect Match</v>
      </c>
    </row>
    <row r="161" spans="1:32">
      <c r="A161" t="str">
        <f>IF(OR(I161&lt;0, ISTEXT(W161), ISTEXT(Y161)), "Invalid", IF(OR(B161="Conflicting Duplicate", M161="Unknown", S161="Unknown"), "Warning", "Valid"))</f>
        <v>Valid</v>
      </c>
      <c r="B161" t="str">
        <f t="shared" si="17"/>
        <v>-</v>
      </c>
      <c r="C161" t="s">
        <v>955</v>
      </c>
      <c r="D161" s="2">
        <v>45649</v>
      </c>
      <c r="E161" t="str">
        <f t="shared" si="18"/>
        <v>December</v>
      </c>
      <c r="F161">
        <f t="shared" si="19"/>
        <v>2024</v>
      </c>
      <c r="G161" s="2">
        <v>45652</v>
      </c>
      <c r="H161" t="s">
        <v>956</v>
      </c>
      <c r="I161">
        <f t="shared" si="20"/>
        <v>3</v>
      </c>
      <c r="J161" t="s">
        <v>2795</v>
      </c>
      <c r="K161" t="s">
        <v>89</v>
      </c>
      <c r="L161" t="s">
        <v>24</v>
      </c>
      <c r="M161" t="s">
        <v>54</v>
      </c>
      <c r="N161" t="s">
        <v>175</v>
      </c>
      <c r="O161" t="s">
        <v>176</v>
      </c>
      <c r="P161" t="s">
        <v>74</v>
      </c>
      <c r="Q161" t="s">
        <v>80</v>
      </c>
      <c r="R161" t="s">
        <v>957</v>
      </c>
      <c r="S161" t="s">
        <v>59</v>
      </c>
      <c r="T161">
        <v>9</v>
      </c>
      <c r="U161">
        <v>993.67</v>
      </c>
      <c r="V161">
        <v>0</v>
      </c>
      <c r="W161">
        <v>0</v>
      </c>
      <c r="X161">
        <v>8943.0300000000007</v>
      </c>
      <c r="Y161">
        <f t="shared" si="16"/>
        <v>8943.0300000000007</v>
      </c>
      <c r="Z161">
        <v>5165.38</v>
      </c>
      <c r="AA161">
        <v>3777.65</v>
      </c>
      <c r="AB161">
        <f t="shared" si="21"/>
        <v>3777.6500000000005</v>
      </c>
      <c r="AC161" s="8">
        <f t="shared" si="22"/>
        <v>0.42241276167026165</v>
      </c>
      <c r="AD161" t="s">
        <v>32</v>
      </c>
      <c r="AE161" t="s">
        <v>33</v>
      </c>
      <c r="AF161" t="str">
        <f t="shared" si="23"/>
        <v>Perfect Match</v>
      </c>
    </row>
    <row r="162" spans="1:32">
      <c r="A162" t="str">
        <f>IF(OR(I162&lt;0, ISTEXT(W162), ISTEXT(Y162)), "Invalid", IF(OR(B162="Conflicting Duplicate", M162="Unknown", S162="Unknown"), "Warning", "Valid"))</f>
        <v>Valid</v>
      </c>
      <c r="B162" t="str">
        <f t="shared" si="17"/>
        <v>-</v>
      </c>
      <c r="C162" t="s">
        <v>961</v>
      </c>
      <c r="D162" s="2">
        <v>45566</v>
      </c>
      <c r="E162" t="str">
        <f t="shared" si="18"/>
        <v>October</v>
      </c>
      <c r="F162">
        <f t="shared" si="19"/>
        <v>2024</v>
      </c>
      <c r="G162" s="2">
        <v>45567</v>
      </c>
      <c r="H162" t="s">
        <v>962</v>
      </c>
      <c r="I162">
        <f t="shared" si="20"/>
        <v>1</v>
      </c>
      <c r="J162" t="s">
        <v>2795</v>
      </c>
      <c r="K162" t="s">
        <v>23</v>
      </c>
      <c r="L162" t="s">
        <v>95</v>
      </c>
      <c r="M162" t="s">
        <v>38</v>
      </c>
      <c r="N162" t="s">
        <v>166</v>
      </c>
      <c r="O162" t="s">
        <v>167</v>
      </c>
      <c r="P162" t="s">
        <v>41</v>
      </c>
      <c r="Q162" t="s">
        <v>42</v>
      </c>
      <c r="R162" t="s">
        <v>963</v>
      </c>
      <c r="S162" t="s">
        <v>31</v>
      </c>
      <c r="T162">
        <v>2</v>
      </c>
      <c r="U162">
        <v>2298</v>
      </c>
      <c r="V162">
        <v>0</v>
      </c>
      <c r="W162">
        <v>0</v>
      </c>
      <c r="X162">
        <v>4596</v>
      </c>
      <c r="Y162">
        <f t="shared" si="16"/>
        <v>4596</v>
      </c>
      <c r="Z162">
        <v>3220.33</v>
      </c>
      <c r="AA162">
        <v>1375.67</v>
      </c>
      <c r="AB162">
        <f t="shared" si="21"/>
        <v>1375.67</v>
      </c>
      <c r="AC162" s="8">
        <f t="shared" si="22"/>
        <v>0.29931897302001742</v>
      </c>
      <c r="AD162" t="s">
        <v>32</v>
      </c>
      <c r="AE162" t="s">
        <v>33</v>
      </c>
      <c r="AF162" t="str">
        <f t="shared" si="23"/>
        <v>Perfect Match</v>
      </c>
    </row>
    <row r="163" spans="1:32">
      <c r="A163" t="str">
        <f>IF(OR(I163&lt;0, ISTEXT(W163), ISTEXT(Y163)), "Invalid", IF(OR(B163="Conflicting Duplicate", M163="Unknown", S163="Unknown"), "Warning", "Valid"))</f>
        <v>Valid</v>
      </c>
      <c r="B163" t="str">
        <f t="shared" si="17"/>
        <v>-</v>
      </c>
      <c r="C163" t="s">
        <v>967</v>
      </c>
      <c r="D163" s="2">
        <v>45634</v>
      </c>
      <c r="E163" t="str">
        <f t="shared" si="18"/>
        <v>December</v>
      </c>
      <c r="F163">
        <f t="shared" si="19"/>
        <v>2024</v>
      </c>
      <c r="G163" s="2">
        <v>45640</v>
      </c>
      <c r="H163" t="s">
        <v>968</v>
      </c>
      <c r="I163">
        <f t="shared" si="20"/>
        <v>6</v>
      </c>
      <c r="J163" t="s">
        <v>2795</v>
      </c>
      <c r="K163" t="s">
        <v>23</v>
      </c>
      <c r="L163" t="s">
        <v>24</v>
      </c>
      <c r="M163" t="s">
        <v>38</v>
      </c>
      <c r="N163" t="s">
        <v>39</v>
      </c>
      <c r="O163" t="s">
        <v>40</v>
      </c>
      <c r="P163" t="s">
        <v>41</v>
      </c>
      <c r="Q163" t="s">
        <v>42</v>
      </c>
      <c r="R163" t="s">
        <v>969</v>
      </c>
      <c r="S163" t="s">
        <v>44</v>
      </c>
      <c r="T163">
        <v>3</v>
      </c>
      <c r="U163">
        <v>1576.92</v>
      </c>
      <c r="V163">
        <v>0</v>
      </c>
      <c r="W163">
        <v>0</v>
      </c>
      <c r="X163">
        <v>4730.76</v>
      </c>
      <c r="Y163">
        <f t="shared" si="16"/>
        <v>4730.76</v>
      </c>
      <c r="Z163">
        <v>3139.73</v>
      </c>
      <c r="AA163">
        <v>1591.03</v>
      </c>
      <c r="AB163">
        <f t="shared" si="21"/>
        <v>1591.0300000000002</v>
      </c>
      <c r="AC163" s="8">
        <f t="shared" si="22"/>
        <v>0.33631594077907145</v>
      </c>
      <c r="AD163" t="s">
        <v>32</v>
      </c>
      <c r="AE163" t="s">
        <v>103</v>
      </c>
      <c r="AF163" t="str">
        <f t="shared" si="23"/>
        <v>Perfect Match</v>
      </c>
    </row>
    <row r="164" spans="1:32">
      <c r="A164" t="str">
        <f>IF(OR(I164&lt;0, ISTEXT(W164), ISTEXT(Y164)), "Invalid", IF(OR(B164="Conflicting Duplicate", M164="Unknown", S164="Unknown"), "Warning", "Valid"))</f>
        <v>Valid</v>
      </c>
      <c r="B164" t="str">
        <f t="shared" si="17"/>
        <v>-</v>
      </c>
      <c r="C164" t="s">
        <v>973</v>
      </c>
      <c r="D164" s="2">
        <v>45350</v>
      </c>
      <c r="E164" t="str">
        <f t="shared" si="18"/>
        <v>February</v>
      </c>
      <c r="F164">
        <f t="shared" si="19"/>
        <v>2024</v>
      </c>
      <c r="G164" s="2">
        <v>45353</v>
      </c>
      <c r="H164" t="s">
        <v>974</v>
      </c>
      <c r="I164">
        <f t="shared" si="20"/>
        <v>3</v>
      </c>
      <c r="J164" t="s">
        <v>2795</v>
      </c>
      <c r="K164" t="s">
        <v>114</v>
      </c>
      <c r="L164" t="s">
        <v>37</v>
      </c>
      <c r="M164" t="s">
        <v>25</v>
      </c>
      <c r="N164" t="s">
        <v>350</v>
      </c>
      <c r="O164" t="s">
        <v>351</v>
      </c>
      <c r="P164" t="s">
        <v>41</v>
      </c>
      <c r="Q164" t="s">
        <v>57</v>
      </c>
      <c r="R164" t="s">
        <v>975</v>
      </c>
      <c r="S164" t="s">
        <v>50</v>
      </c>
      <c r="T164">
        <v>7</v>
      </c>
      <c r="U164">
        <v>701.8</v>
      </c>
      <c r="V164">
        <v>0.1</v>
      </c>
      <c r="W164">
        <v>0.1</v>
      </c>
      <c r="X164">
        <v>4421.34</v>
      </c>
      <c r="Y164">
        <f t="shared" si="16"/>
        <v>4421.34</v>
      </c>
      <c r="Z164">
        <v>2489.98</v>
      </c>
      <c r="AA164">
        <v>1931.36</v>
      </c>
      <c r="AB164">
        <f t="shared" si="21"/>
        <v>1931.3600000000001</v>
      </c>
      <c r="AC164" s="8">
        <f t="shared" si="22"/>
        <v>0.43682684435035535</v>
      </c>
      <c r="AD164" t="s">
        <v>111</v>
      </c>
      <c r="AE164" t="s">
        <v>103</v>
      </c>
      <c r="AF164" t="str">
        <f t="shared" si="23"/>
        <v>Perfect Match</v>
      </c>
    </row>
    <row r="165" spans="1:32">
      <c r="A165" s="6" t="str">
        <f>IF(OR(I165&lt;0, ISTEXT(W165), ISTEXT(Y165)), "Invalid", IF(OR(B165="Conflicting Duplicate", M165="Unknown", S165="Unknown"), "Warning", "Valid"))</f>
        <v>Invalid</v>
      </c>
      <c r="B165" t="str">
        <f t="shared" si="17"/>
        <v>-</v>
      </c>
      <c r="C165" t="s">
        <v>976</v>
      </c>
      <c r="D165" s="2">
        <v>45540</v>
      </c>
      <c r="E165" t="str">
        <f t="shared" si="18"/>
        <v>September</v>
      </c>
      <c r="F165">
        <f t="shared" si="19"/>
        <v>2024</v>
      </c>
      <c r="G165" s="2">
        <v>45482</v>
      </c>
      <c r="H165" t="s">
        <v>977</v>
      </c>
      <c r="I165" s="7">
        <f t="shared" si="20"/>
        <v>-58</v>
      </c>
      <c r="J165" s="7" t="s">
        <v>2802</v>
      </c>
      <c r="K165" t="s">
        <v>79</v>
      </c>
      <c r="L165" t="s">
        <v>37</v>
      </c>
      <c r="M165" t="s">
        <v>54</v>
      </c>
      <c r="N165" t="s">
        <v>247</v>
      </c>
      <c r="O165" t="s">
        <v>248</v>
      </c>
      <c r="P165" t="s">
        <v>74</v>
      </c>
      <c r="Q165" t="s">
        <v>80</v>
      </c>
      <c r="R165" t="s">
        <v>978</v>
      </c>
      <c r="S165" t="s">
        <v>59</v>
      </c>
      <c r="T165">
        <v>3</v>
      </c>
      <c r="U165">
        <v>2555.66</v>
      </c>
      <c r="V165">
        <v>0.15</v>
      </c>
      <c r="W165">
        <v>0.15</v>
      </c>
      <c r="X165">
        <v>6516.93</v>
      </c>
      <c r="Y165">
        <f t="shared" si="16"/>
        <v>6516.93</v>
      </c>
      <c r="Z165">
        <v>4511.54</v>
      </c>
      <c r="AA165">
        <v>2005.39</v>
      </c>
      <c r="AB165">
        <f t="shared" si="21"/>
        <v>2005.3900000000003</v>
      </c>
      <c r="AC165" s="8">
        <f t="shared" si="22"/>
        <v>0.30772004609532405</v>
      </c>
      <c r="AD165" t="s">
        <v>32</v>
      </c>
      <c r="AE165" t="s">
        <v>68</v>
      </c>
      <c r="AF165" t="str">
        <f t="shared" si="23"/>
        <v>Perfect Match</v>
      </c>
    </row>
    <row r="166" spans="1:32">
      <c r="A166" t="str">
        <f>IF(OR(I166&lt;0, ISTEXT(W166), ISTEXT(Y166)), "Invalid", IF(OR(B166="Conflicting Duplicate", M166="Unknown", S166="Unknown"), "Warning", "Valid"))</f>
        <v>Valid</v>
      </c>
      <c r="B166" t="str">
        <f t="shared" si="17"/>
        <v>-</v>
      </c>
      <c r="C166" t="s">
        <v>979</v>
      </c>
      <c r="D166" s="2">
        <v>45467</v>
      </c>
      <c r="E166" t="str">
        <f t="shared" si="18"/>
        <v>June</v>
      </c>
      <c r="F166">
        <f t="shared" si="19"/>
        <v>2024</v>
      </c>
      <c r="G166" s="2">
        <v>45467</v>
      </c>
      <c r="H166" t="s">
        <v>980</v>
      </c>
      <c r="I166">
        <f t="shared" si="20"/>
        <v>0</v>
      </c>
      <c r="J166" t="s">
        <v>2795</v>
      </c>
      <c r="K166" t="s">
        <v>141</v>
      </c>
      <c r="L166" t="s">
        <v>37</v>
      </c>
      <c r="M166" t="s">
        <v>38</v>
      </c>
      <c r="N166" t="s">
        <v>145</v>
      </c>
      <c r="O166" t="s">
        <v>146</v>
      </c>
      <c r="P166" t="s">
        <v>28</v>
      </c>
      <c r="Q166" t="s">
        <v>153</v>
      </c>
      <c r="R166" t="s">
        <v>981</v>
      </c>
      <c r="S166" t="s">
        <v>44</v>
      </c>
      <c r="T166">
        <v>2</v>
      </c>
      <c r="U166">
        <v>4359.8999999999996</v>
      </c>
      <c r="V166">
        <v>0.15</v>
      </c>
      <c r="W166">
        <v>0.15</v>
      </c>
      <c r="X166">
        <v>7411.83</v>
      </c>
      <c r="Y166">
        <f t="shared" si="16"/>
        <v>7411.83</v>
      </c>
      <c r="Z166">
        <v>4904.63</v>
      </c>
      <c r="AA166">
        <v>2507.1999999999998</v>
      </c>
      <c r="AB166">
        <f t="shared" si="21"/>
        <v>2507.1999999999998</v>
      </c>
      <c r="AC166" s="8">
        <f t="shared" si="22"/>
        <v>0.33827003587508075</v>
      </c>
      <c r="AD166" t="s">
        <v>32</v>
      </c>
      <c r="AE166" t="s">
        <v>33</v>
      </c>
      <c r="AF166" t="str">
        <f t="shared" si="23"/>
        <v>Perfect Match</v>
      </c>
    </row>
    <row r="167" spans="1:32">
      <c r="A167" t="str">
        <f>IF(OR(I167&lt;0, ISTEXT(W167), ISTEXT(Y167)), "Invalid", IF(OR(B167="Conflicting Duplicate", M167="Unknown", S167="Unknown"), "Warning", "Valid"))</f>
        <v>Valid</v>
      </c>
      <c r="B167" t="str">
        <f t="shared" si="17"/>
        <v>-</v>
      </c>
      <c r="C167" t="s">
        <v>988</v>
      </c>
      <c r="D167" s="2">
        <v>45387</v>
      </c>
      <c r="E167" t="str">
        <f t="shared" si="18"/>
        <v>April</v>
      </c>
      <c r="F167">
        <f t="shared" si="19"/>
        <v>2024</v>
      </c>
      <c r="G167" s="2">
        <v>45392</v>
      </c>
      <c r="H167" t="s">
        <v>989</v>
      </c>
      <c r="I167">
        <f t="shared" si="20"/>
        <v>5</v>
      </c>
      <c r="J167" t="s">
        <v>2795</v>
      </c>
      <c r="K167" t="s">
        <v>114</v>
      </c>
      <c r="L167" t="s">
        <v>95</v>
      </c>
      <c r="M167" t="s">
        <v>25</v>
      </c>
      <c r="N167" t="s">
        <v>26</v>
      </c>
      <c r="O167" t="s">
        <v>27</v>
      </c>
      <c r="P167" t="s">
        <v>28</v>
      </c>
      <c r="Q167" t="s">
        <v>153</v>
      </c>
      <c r="R167" t="s">
        <v>990</v>
      </c>
      <c r="S167" t="s">
        <v>59</v>
      </c>
      <c r="T167">
        <v>4</v>
      </c>
      <c r="U167">
        <v>3228.66</v>
      </c>
      <c r="V167">
        <v>0.25</v>
      </c>
      <c r="W167">
        <v>0.25</v>
      </c>
      <c r="X167">
        <v>9685.98</v>
      </c>
      <c r="Y167">
        <f t="shared" si="16"/>
        <v>9685.98</v>
      </c>
      <c r="Z167">
        <v>7730.04</v>
      </c>
      <c r="AA167">
        <v>1955.94</v>
      </c>
      <c r="AB167">
        <f t="shared" si="21"/>
        <v>1955.9399999999996</v>
      </c>
      <c r="AC167" s="8">
        <f t="shared" si="22"/>
        <v>0.20193516815025425</v>
      </c>
      <c r="AD167" t="s">
        <v>32</v>
      </c>
      <c r="AE167" t="s">
        <v>33</v>
      </c>
      <c r="AF167" t="str">
        <f t="shared" si="23"/>
        <v>Perfect Match</v>
      </c>
    </row>
    <row r="168" spans="1:32">
      <c r="A168" s="6" t="str">
        <f>IF(OR(I168&lt;0, ISTEXT(W168), ISTEXT(Y168)), "Invalid", IF(OR(B168="Conflicting Duplicate", M168="Unknown", S168="Unknown"), "Warning", "Valid"))</f>
        <v>Invalid</v>
      </c>
      <c r="B168" t="str">
        <f t="shared" si="17"/>
        <v>-</v>
      </c>
      <c r="C168" t="s">
        <v>994</v>
      </c>
      <c r="D168" s="2">
        <v>45358</v>
      </c>
      <c r="E168" t="str">
        <f t="shared" si="18"/>
        <v>March</v>
      </c>
      <c r="F168">
        <f t="shared" si="19"/>
        <v>2024</v>
      </c>
      <c r="G168" s="2">
        <v>45599</v>
      </c>
      <c r="H168" t="s">
        <v>995</v>
      </c>
      <c r="I168">
        <f t="shared" si="20"/>
        <v>241</v>
      </c>
      <c r="J168" t="s">
        <v>2795</v>
      </c>
      <c r="K168" t="s">
        <v>53</v>
      </c>
      <c r="L168" t="s">
        <v>95</v>
      </c>
      <c r="M168" t="s">
        <v>54</v>
      </c>
      <c r="N168" t="s">
        <v>55</v>
      </c>
      <c r="O168" t="s">
        <v>56</v>
      </c>
      <c r="P168" t="s">
        <v>74</v>
      </c>
      <c r="Q168" t="s">
        <v>171</v>
      </c>
      <c r="R168" t="s">
        <v>996</v>
      </c>
      <c r="S168" t="s">
        <v>50</v>
      </c>
      <c r="T168">
        <v>2</v>
      </c>
      <c r="U168">
        <v>4401.51</v>
      </c>
      <c r="V168">
        <v>0.65</v>
      </c>
      <c r="W168" s="4" t="s">
        <v>2794</v>
      </c>
      <c r="X168">
        <v>8362.8700000000008</v>
      </c>
      <c r="Y168" s="4" t="str">
        <f t="shared" si="16"/>
        <v>Cannot Calculate</v>
      </c>
      <c r="Z168">
        <v>6541.04</v>
      </c>
      <c r="AA168">
        <v>1821.83</v>
      </c>
      <c r="AB168" s="4" t="str">
        <f t="shared" si="21"/>
        <v>Cannot Calculate</v>
      </c>
      <c r="AC168" s="9">
        <f t="shared" si="22"/>
        <v>0</v>
      </c>
      <c r="AD168" t="s">
        <v>32</v>
      </c>
      <c r="AE168" t="s">
        <v>33</v>
      </c>
      <c r="AF168" t="str">
        <f t="shared" si="23"/>
        <v>Calculation Blocked</v>
      </c>
    </row>
    <row r="169" spans="1:32">
      <c r="A169" s="6" t="str">
        <f>IF(OR(I169&lt;0, ISTEXT(W169), ISTEXT(Y169)), "Invalid", IF(OR(B169="Conflicting Duplicate", M169="Unknown", S169="Unknown"), "Warning", "Valid"))</f>
        <v>Invalid</v>
      </c>
      <c r="B169" t="str">
        <f t="shared" si="17"/>
        <v>-</v>
      </c>
      <c r="C169" t="s">
        <v>1006</v>
      </c>
      <c r="D169" s="2">
        <v>45594</v>
      </c>
      <c r="E169" t="str">
        <f t="shared" si="18"/>
        <v>October</v>
      </c>
      <c r="F169">
        <f t="shared" si="19"/>
        <v>2024</v>
      </c>
      <c r="G169" s="2">
        <v>45454</v>
      </c>
      <c r="H169" t="s">
        <v>1007</v>
      </c>
      <c r="I169" s="7">
        <f t="shared" si="20"/>
        <v>-140</v>
      </c>
      <c r="J169" s="7" t="s">
        <v>2802</v>
      </c>
      <c r="K169" t="s">
        <v>132</v>
      </c>
      <c r="L169" t="s">
        <v>90</v>
      </c>
      <c r="M169" t="s">
        <v>54</v>
      </c>
      <c r="N169" t="s">
        <v>247</v>
      </c>
      <c r="O169" t="s">
        <v>248</v>
      </c>
      <c r="P169" t="s">
        <v>74</v>
      </c>
      <c r="Q169" t="s">
        <v>80</v>
      </c>
      <c r="R169" t="s">
        <v>1008</v>
      </c>
      <c r="S169" t="s">
        <v>44</v>
      </c>
      <c r="T169">
        <v>6</v>
      </c>
      <c r="U169">
        <v>1169.92</v>
      </c>
      <c r="V169">
        <v>0.15</v>
      </c>
      <c r="W169">
        <v>0.15</v>
      </c>
      <c r="X169">
        <v>5966.59</v>
      </c>
      <c r="Y169">
        <f t="shared" si="16"/>
        <v>5966.59</v>
      </c>
      <c r="Z169">
        <v>3994.72</v>
      </c>
      <c r="AA169">
        <v>1971.87</v>
      </c>
      <c r="AB169">
        <f t="shared" si="21"/>
        <v>1971.8700000000003</v>
      </c>
      <c r="AC169" s="8">
        <f t="shared" si="22"/>
        <v>0.33048525204513807</v>
      </c>
      <c r="AD169" t="s">
        <v>32</v>
      </c>
      <c r="AE169" t="s">
        <v>33</v>
      </c>
      <c r="AF169" t="str">
        <f t="shared" si="23"/>
        <v>Perfect Match</v>
      </c>
    </row>
    <row r="170" spans="1:32">
      <c r="A170" t="str">
        <f>IF(OR(I170&lt;0, ISTEXT(W170), ISTEXT(Y170)), "Invalid", IF(OR(B170="Conflicting Duplicate", M170="Unknown", S170="Unknown"), "Warning", "Valid"))</f>
        <v>Valid</v>
      </c>
      <c r="B170" t="str">
        <f t="shared" si="17"/>
        <v>-</v>
      </c>
      <c r="C170" t="s">
        <v>1012</v>
      </c>
      <c r="D170" s="2">
        <v>45454</v>
      </c>
      <c r="E170" t="str">
        <f t="shared" si="18"/>
        <v>June</v>
      </c>
      <c r="F170">
        <f t="shared" si="19"/>
        <v>2024</v>
      </c>
      <c r="G170" s="2">
        <v>45608</v>
      </c>
      <c r="H170" t="s">
        <v>1013</v>
      </c>
      <c r="I170">
        <f t="shared" si="20"/>
        <v>154</v>
      </c>
      <c r="J170" t="s">
        <v>2795</v>
      </c>
      <c r="K170" t="s">
        <v>118</v>
      </c>
      <c r="L170" t="s">
        <v>37</v>
      </c>
      <c r="M170" t="s">
        <v>63</v>
      </c>
      <c r="N170" t="s">
        <v>180</v>
      </c>
      <c r="O170" t="s">
        <v>181</v>
      </c>
      <c r="P170" t="s">
        <v>74</v>
      </c>
      <c r="Q170" t="s">
        <v>75</v>
      </c>
      <c r="R170" t="s">
        <v>1014</v>
      </c>
      <c r="S170" t="s">
        <v>59</v>
      </c>
      <c r="T170">
        <v>7</v>
      </c>
      <c r="U170">
        <v>1719.05</v>
      </c>
      <c r="V170">
        <v>0.1</v>
      </c>
      <c r="W170">
        <v>0.1</v>
      </c>
      <c r="X170">
        <v>10830.02</v>
      </c>
      <c r="Y170">
        <f t="shared" si="16"/>
        <v>10830.02</v>
      </c>
      <c r="Z170">
        <v>7055.31</v>
      </c>
      <c r="AA170">
        <v>3774.71</v>
      </c>
      <c r="AB170">
        <f t="shared" si="21"/>
        <v>3774.71</v>
      </c>
      <c r="AC170" s="8">
        <f t="shared" si="22"/>
        <v>0.3485413692680161</v>
      </c>
      <c r="AD170" t="s">
        <v>32</v>
      </c>
      <c r="AE170" t="s">
        <v>33</v>
      </c>
      <c r="AF170" t="str">
        <f t="shared" si="23"/>
        <v>Perfect Match</v>
      </c>
    </row>
    <row r="171" spans="1:32">
      <c r="A171" t="str">
        <f>IF(OR(I171&lt;0, ISTEXT(W171), ISTEXT(Y171)), "Invalid", IF(OR(B171="Conflicting Duplicate", M171="Unknown", S171="Unknown"), "Warning", "Valid"))</f>
        <v>Valid</v>
      </c>
      <c r="B171" t="str">
        <f t="shared" si="17"/>
        <v>-</v>
      </c>
      <c r="C171" t="s">
        <v>1015</v>
      </c>
      <c r="D171" s="2">
        <v>45397</v>
      </c>
      <c r="E171" t="str">
        <f t="shared" si="18"/>
        <v>April</v>
      </c>
      <c r="F171">
        <f t="shared" si="19"/>
        <v>2024</v>
      </c>
      <c r="G171" s="2">
        <v>45405</v>
      </c>
      <c r="H171" t="s">
        <v>1016</v>
      </c>
      <c r="I171">
        <f t="shared" si="20"/>
        <v>8</v>
      </c>
      <c r="J171" t="s">
        <v>2795</v>
      </c>
      <c r="K171" t="s">
        <v>162</v>
      </c>
      <c r="L171" t="s">
        <v>37</v>
      </c>
      <c r="M171" t="s">
        <v>25</v>
      </c>
      <c r="N171" t="s">
        <v>122</v>
      </c>
      <c r="O171" t="s">
        <v>123</v>
      </c>
      <c r="P171" t="s">
        <v>74</v>
      </c>
      <c r="Q171" t="s">
        <v>75</v>
      </c>
      <c r="R171" t="s">
        <v>1017</v>
      </c>
      <c r="S171" t="s">
        <v>31</v>
      </c>
      <c r="T171">
        <v>9</v>
      </c>
      <c r="U171">
        <v>3893.74</v>
      </c>
      <c r="V171">
        <v>0.1</v>
      </c>
      <c r="W171">
        <v>0.1</v>
      </c>
      <c r="X171">
        <v>31539.29</v>
      </c>
      <c r="Y171">
        <f t="shared" si="16"/>
        <v>31539.29</v>
      </c>
      <c r="Z171">
        <v>22100.14</v>
      </c>
      <c r="AA171">
        <v>9439.15</v>
      </c>
      <c r="AB171">
        <f t="shared" si="21"/>
        <v>9439.1500000000015</v>
      </c>
      <c r="AC171" s="8">
        <f t="shared" si="22"/>
        <v>0.29928226031721072</v>
      </c>
      <c r="AD171" t="s">
        <v>32</v>
      </c>
      <c r="AE171" t="s">
        <v>33</v>
      </c>
      <c r="AF171" t="str">
        <f t="shared" si="23"/>
        <v>Perfect Match</v>
      </c>
    </row>
    <row r="172" spans="1:32">
      <c r="A172" t="str">
        <f>IF(OR(I172&lt;0, ISTEXT(W172), ISTEXT(Y172)), "Invalid", IF(OR(B172="Conflicting Duplicate", M172="Unknown", S172="Unknown"), "Warning", "Valid"))</f>
        <v>Valid</v>
      </c>
      <c r="B172" t="str">
        <f t="shared" si="17"/>
        <v>-</v>
      </c>
      <c r="C172" t="s">
        <v>1024</v>
      </c>
      <c r="D172" s="2">
        <v>45466</v>
      </c>
      <c r="E172" t="str">
        <f t="shared" si="18"/>
        <v>June</v>
      </c>
      <c r="F172">
        <f t="shared" si="19"/>
        <v>2024</v>
      </c>
      <c r="G172" s="2">
        <v>45471</v>
      </c>
      <c r="H172" t="s">
        <v>1025</v>
      </c>
      <c r="I172">
        <f t="shared" si="20"/>
        <v>5</v>
      </c>
      <c r="J172" t="s">
        <v>2795</v>
      </c>
      <c r="K172" t="s">
        <v>162</v>
      </c>
      <c r="L172" t="s">
        <v>95</v>
      </c>
      <c r="M172" t="s">
        <v>63</v>
      </c>
      <c r="N172" t="s">
        <v>180</v>
      </c>
      <c r="O172" t="s">
        <v>181</v>
      </c>
      <c r="P172" t="s">
        <v>41</v>
      </c>
      <c r="Q172" t="s">
        <v>66</v>
      </c>
      <c r="R172" t="s">
        <v>1026</v>
      </c>
      <c r="S172" t="s">
        <v>59</v>
      </c>
      <c r="T172">
        <v>2</v>
      </c>
      <c r="U172">
        <v>1313.14</v>
      </c>
      <c r="V172">
        <v>0.1</v>
      </c>
      <c r="W172">
        <v>0.1</v>
      </c>
      <c r="X172">
        <v>2363.65</v>
      </c>
      <c r="Y172">
        <f t="shared" si="16"/>
        <v>2363.65</v>
      </c>
      <c r="Z172">
        <v>1876.1</v>
      </c>
      <c r="AA172">
        <v>487.55</v>
      </c>
      <c r="AB172">
        <f t="shared" si="21"/>
        <v>487.55000000000018</v>
      </c>
      <c r="AC172" s="8">
        <f t="shared" si="22"/>
        <v>0.20626996382713184</v>
      </c>
      <c r="AD172" t="s">
        <v>111</v>
      </c>
      <c r="AE172" t="s">
        <v>103</v>
      </c>
      <c r="AF172" t="str">
        <f t="shared" si="23"/>
        <v>Perfect Match</v>
      </c>
    </row>
    <row r="173" spans="1:32">
      <c r="A173" t="str">
        <f>IF(OR(I173&lt;0, ISTEXT(W173), ISTEXT(Y173)), "Invalid", IF(OR(B173="Conflicting Duplicate", M173="Unknown", S173="Unknown"), "Warning", "Valid"))</f>
        <v>Valid</v>
      </c>
      <c r="B173" t="str">
        <f t="shared" si="17"/>
        <v>-</v>
      </c>
      <c r="C173" t="s">
        <v>1027</v>
      </c>
      <c r="D173" s="2">
        <v>45357</v>
      </c>
      <c r="E173" t="str">
        <f t="shared" si="18"/>
        <v>March</v>
      </c>
      <c r="F173">
        <f t="shared" si="19"/>
        <v>2024</v>
      </c>
      <c r="G173" s="2">
        <v>45364</v>
      </c>
      <c r="H173" t="s">
        <v>1028</v>
      </c>
      <c r="I173">
        <f t="shared" si="20"/>
        <v>7</v>
      </c>
      <c r="J173" t="s">
        <v>2795</v>
      </c>
      <c r="K173" t="s">
        <v>23</v>
      </c>
      <c r="L173" t="s">
        <v>24</v>
      </c>
      <c r="M173" t="s">
        <v>25</v>
      </c>
      <c r="N173" t="s">
        <v>122</v>
      </c>
      <c r="O173" t="s">
        <v>123</v>
      </c>
      <c r="P173" t="s">
        <v>41</v>
      </c>
      <c r="Q173" t="s">
        <v>57</v>
      </c>
      <c r="R173" t="s">
        <v>1029</v>
      </c>
      <c r="S173" t="s">
        <v>59</v>
      </c>
      <c r="T173">
        <v>6</v>
      </c>
      <c r="U173">
        <v>2403.0500000000002</v>
      </c>
      <c r="V173">
        <v>0.1</v>
      </c>
      <c r="W173">
        <v>0.1</v>
      </c>
      <c r="X173">
        <v>12976.47</v>
      </c>
      <c r="Y173">
        <f t="shared" si="16"/>
        <v>12976.47</v>
      </c>
      <c r="Z173">
        <v>10019.98</v>
      </c>
      <c r="AA173">
        <v>2956.49</v>
      </c>
      <c r="AB173">
        <f t="shared" si="21"/>
        <v>2956.49</v>
      </c>
      <c r="AC173" s="8">
        <f t="shared" si="22"/>
        <v>0.2278346884784537</v>
      </c>
      <c r="AD173" t="s">
        <v>32</v>
      </c>
      <c r="AE173" t="s">
        <v>33</v>
      </c>
      <c r="AF173" t="str">
        <f t="shared" si="23"/>
        <v>Perfect Match</v>
      </c>
    </row>
    <row r="174" spans="1:32">
      <c r="A174" s="6" t="str">
        <f>IF(OR(I174&lt;0, ISTEXT(W174), ISTEXT(Y174)), "Invalid", IF(OR(B174="Conflicting Duplicate", M174="Unknown", S174="Unknown"), "Warning", "Valid"))</f>
        <v>Invalid</v>
      </c>
      <c r="B174" t="str">
        <f t="shared" si="17"/>
        <v>-</v>
      </c>
      <c r="C174" t="s">
        <v>1030</v>
      </c>
      <c r="D174" s="2">
        <v>45413</v>
      </c>
      <c r="E174" t="str">
        <f t="shared" si="18"/>
        <v>May</v>
      </c>
      <c r="F174">
        <f t="shared" si="19"/>
        <v>2024</v>
      </c>
      <c r="G174" s="2">
        <v>45414</v>
      </c>
      <c r="H174" t="s">
        <v>1031</v>
      </c>
      <c r="I174">
        <f t="shared" si="20"/>
        <v>1</v>
      </c>
      <c r="J174" t="s">
        <v>2795</v>
      </c>
      <c r="K174" t="s">
        <v>62</v>
      </c>
      <c r="L174" t="s">
        <v>24</v>
      </c>
      <c r="M174" t="s">
        <v>38</v>
      </c>
      <c r="N174" t="s">
        <v>166</v>
      </c>
      <c r="O174" t="s">
        <v>167</v>
      </c>
      <c r="P174" t="s">
        <v>41</v>
      </c>
      <c r="Q174" t="s">
        <v>66</v>
      </c>
      <c r="R174" t="s">
        <v>1032</v>
      </c>
      <c r="S174" t="s">
        <v>50</v>
      </c>
      <c r="T174">
        <v>4</v>
      </c>
      <c r="U174">
        <v>4156.0600000000004</v>
      </c>
      <c r="V174">
        <v>0.55000000000000004</v>
      </c>
      <c r="W174" s="4" t="s">
        <v>2794</v>
      </c>
      <c r="X174">
        <v>13299.39</v>
      </c>
      <c r="Y174" s="4" t="str">
        <f t="shared" si="16"/>
        <v>Cannot Calculate</v>
      </c>
      <c r="Z174">
        <v>9851.91</v>
      </c>
      <c r="AA174">
        <v>3447.48</v>
      </c>
      <c r="AB174" s="4" t="str">
        <f t="shared" si="21"/>
        <v>Cannot Calculate</v>
      </c>
      <c r="AC174" s="9">
        <f t="shared" si="22"/>
        <v>0</v>
      </c>
      <c r="AD174" t="s">
        <v>32</v>
      </c>
      <c r="AE174" t="s">
        <v>68</v>
      </c>
      <c r="AF174" t="str">
        <f t="shared" si="23"/>
        <v>Calculation Blocked</v>
      </c>
    </row>
    <row r="175" spans="1:32">
      <c r="A175" t="str">
        <f>IF(OR(I175&lt;0, ISTEXT(W175), ISTEXT(Y175)), "Invalid", IF(OR(B175="Conflicting Duplicate", M175="Unknown", S175="Unknown"), "Warning", "Valid"))</f>
        <v>Valid</v>
      </c>
      <c r="B175" t="str">
        <f t="shared" si="17"/>
        <v>-</v>
      </c>
      <c r="C175" t="s">
        <v>1043</v>
      </c>
      <c r="D175" s="2">
        <v>45493</v>
      </c>
      <c r="E175" t="str">
        <f t="shared" si="18"/>
        <v>July</v>
      </c>
      <c r="F175">
        <f t="shared" si="19"/>
        <v>2024</v>
      </c>
      <c r="G175" s="2">
        <v>45495</v>
      </c>
      <c r="H175" t="s">
        <v>1044</v>
      </c>
      <c r="I175">
        <f t="shared" si="20"/>
        <v>2</v>
      </c>
      <c r="J175" t="s">
        <v>2795</v>
      </c>
      <c r="K175" t="s">
        <v>62</v>
      </c>
      <c r="L175" t="s">
        <v>24</v>
      </c>
      <c r="M175" t="s">
        <v>54</v>
      </c>
      <c r="N175" t="s">
        <v>247</v>
      </c>
      <c r="O175" t="s">
        <v>248</v>
      </c>
      <c r="P175" t="s">
        <v>41</v>
      </c>
      <c r="Q175" t="s">
        <v>42</v>
      </c>
      <c r="R175" t="s">
        <v>1045</v>
      </c>
      <c r="S175" t="s">
        <v>50</v>
      </c>
      <c r="T175">
        <v>7</v>
      </c>
      <c r="U175">
        <v>2060.73</v>
      </c>
      <c r="V175">
        <v>0.1</v>
      </c>
      <c r="W175">
        <v>0.1</v>
      </c>
      <c r="X175">
        <v>12982.6</v>
      </c>
      <c r="Y175">
        <f t="shared" si="16"/>
        <v>12982.6</v>
      </c>
      <c r="Z175">
        <v>7246.36</v>
      </c>
      <c r="AA175">
        <v>5736.24</v>
      </c>
      <c r="AB175">
        <f t="shared" si="21"/>
        <v>5736.2400000000007</v>
      </c>
      <c r="AC175" s="8">
        <f t="shared" si="22"/>
        <v>0.44184061744180675</v>
      </c>
      <c r="AD175" t="s">
        <v>32</v>
      </c>
      <c r="AE175" t="s">
        <v>68</v>
      </c>
      <c r="AF175" t="str">
        <f t="shared" si="23"/>
        <v>Perfect Match</v>
      </c>
    </row>
    <row r="176" spans="1:32">
      <c r="A176" t="str">
        <f>IF(OR(I176&lt;0, ISTEXT(W176), ISTEXT(Y176)), "Invalid", IF(OR(B176="Conflicting Duplicate", M176="Unknown", S176="Unknown"), "Warning", "Valid"))</f>
        <v>Valid</v>
      </c>
      <c r="B176" t="str">
        <f t="shared" si="17"/>
        <v>-</v>
      </c>
      <c r="C176" t="s">
        <v>1046</v>
      </c>
      <c r="D176" s="2">
        <v>45389</v>
      </c>
      <c r="E176" t="str">
        <f t="shared" si="18"/>
        <v>April</v>
      </c>
      <c r="F176">
        <f t="shared" si="19"/>
        <v>2024</v>
      </c>
      <c r="G176" s="2">
        <v>45511</v>
      </c>
      <c r="H176" t="s">
        <v>1047</v>
      </c>
      <c r="I176">
        <f t="shared" si="20"/>
        <v>122</v>
      </c>
      <c r="J176" t="s">
        <v>2795</v>
      </c>
      <c r="K176" t="s">
        <v>141</v>
      </c>
      <c r="L176" t="s">
        <v>37</v>
      </c>
      <c r="M176" t="s">
        <v>54</v>
      </c>
      <c r="N176" t="s">
        <v>247</v>
      </c>
      <c r="O176" t="s">
        <v>248</v>
      </c>
      <c r="P176" t="s">
        <v>74</v>
      </c>
      <c r="Q176" t="s">
        <v>274</v>
      </c>
      <c r="R176" t="s">
        <v>1048</v>
      </c>
      <c r="S176" t="s">
        <v>50</v>
      </c>
      <c r="T176">
        <v>8</v>
      </c>
      <c r="U176">
        <v>2034.25</v>
      </c>
      <c r="V176">
        <v>0</v>
      </c>
      <c r="W176">
        <v>0</v>
      </c>
      <c r="X176">
        <v>16274</v>
      </c>
      <c r="Y176">
        <f t="shared" si="16"/>
        <v>16274</v>
      </c>
      <c r="Z176">
        <v>9424.25</v>
      </c>
      <c r="AA176">
        <v>6849.75</v>
      </c>
      <c r="AB176">
        <f t="shared" si="21"/>
        <v>6849.75</v>
      </c>
      <c r="AC176" s="8">
        <f t="shared" si="22"/>
        <v>0.42090143787636719</v>
      </c>
      <c r="AD176" t="s">
        <v>32</v>
      </c>
      <c r="AE176" t="s">
        <v>33</v>
      </c>
      <c r="AF176" t="str">
        <f t="shared" si="23"/>
        <v>Perfect Match</v>
      </c>
    </row>
    <row r="177" spans="1:32">
      <c r="A177" s="6" t="str">
        <f>IF(OR(I177&lt;0, ISTEXT(W177), ISTEXT(Y177)), "Invalid", IF(OR(B177="Conflicting Duplicate", M177="Unknown", S177="Unknown"), "Warning", "Valid"))</f>
        <v>Invalid</v>
      </c>
      <c r="B177" t="str">
        <f t="shared" si="17"/>
        <v>-</v>
      </c>
      <c r="C177" t="s">
        <v>1049</v>
      </c>
      <c r="D177" s="2">
        <v>45409</v>
      </c>
      <c r="E177" t="str">
        <f t="shared" si="18"/>
        <v>April</v>
      </c>
      <c r="F177">
        <f t="shared" si="19"/>
        <v>2024</v>
      </c>
      <c r="G177" s="2">
        <v>45327</v>
      </c>
      <c r="H177" t="s">
        <v>1050</v>
      </c>
      <c r="I177" s="7">
        <f t="shared" si="20"/>
        <v>-82</v>
      </c>
      <c r="J177" s="7" t="s">
        <v>2802</v>
      </c>
      <c r="K177" t="s">
        <v>36</v>
      </c>
      <c r="L177" t="s">
        <v>90</v>
      </c>
      <c r="M177" t="s">
        <v>54</v>
      </c>
      <c r="N177" t="s">
        <v>175</v>
      </c>
      <c r="O177" t="s">
        <v>176</v>
      </c>
      <c r="P177" t="s">
        <v>28</v>
      </c>
      <c r="Q177" t="s">
        <v>153</v>
      </c>
      <c r="R177" t="s">
        <v>1051</v>
      </c>
      <c r="S177" t="s">
        <v>31</v>
      </c>
      <c r="T177">
        <v>5</v>
      </c>
      <c r="U177">
        <v>554.04</v>
      </c>
      <c r="V177">
        <v>0.1</v>
      </c>
      <c r="W177">
        <v>0.1</v>
      </c>
      <c r="X177">
        <v>2493.1799999999998</v>
      </c>
      <c r="Y177">
        <f t="shared" si="16"/>
        <v>2493.1799999999998</v>
      </c>
      <c r="Z177">
        <v>1764</v>
      </c>
      <c r="AA177">
        <v>729.18</v>
      </c>
      <c r="AB177">
        <f t="shared" si="21"/>
        <v>729.17999999999984</v>
      </c>
      <c r="AC177" s="8">
        <f t="shared" si="22"/>
        <v>0.29246985777200196</v>
      </c>
      <c r="AD177" t="s">
        <v>32</v>
      </c>
      <c r="AE177" t="s">
        <v>33</v>
      </c>
      <c r="AF177" t="str">
        <f t="shared" si="23"/>
        <v>Perfect Match</v>
      </c>
    </row>
    <row r="178" spans="1:32">
      <c r="A178" s="6" t="str">
        <f>IF(OR(I178&lt;0, ISTEXT(W178), ISTEXT(Y178)), "Invalid", IF(OR(B178="Conflicting Duplicate", M178="Unknown", S178="Unknown"), "Warning", "Valid"))</f>
        <v>Invalid</v>
      </c>
      <c r="B178" t="str">
        <f t="shared" si="17"/>
        <v>-</v>
      </c>
      <c r="C178" t="s">
        <v>1052</v>
      </c>
      <c r="D178" s="2">
        <v>45504</v>
      </c>
      <c r="E178" t="str">
        <f t="shared" si="18"/>
        <v>July</v>
      </c>
      <c r="F178">
        <f t="shared" si="19"/>
        <v>2024</v>
      </c>
      <c r="G178" s="2">
        <v>45390</v>
      </c>
      <c r="H178" t="s">
        <v>1053</v>
      </c>
      <c r="I178" s="7">
        <f t="shared" si="20"/>
        <v>-114</v>
      </c>
      <c r="J178" s="7" t="s">
        <v>2802</v>
      </c>
      <c r="K178" t="s">
        <v>23</v>
      </c>
      <c r="L178" t="s">
        <v>37</v>
      </c>
      <c r="M178" t="s">
        <v>38</v>
      </c>
      <c r="N178" t="s">
        <v>166</v>
      </c>
      <c r="O178" t="s">
        <v>167</v>
      </c>
      <c r="P178" t="s">
        <v>74</v>
      </c>
      <c r="Q178" t="s">
        <v>171</v>
      </c>
      <c r="R178" t="s">
        <v>1054</v>
      </c>
      <c r="S178" t="s">
        <v>59</v>
      </c>
      <c r="T178">
        <v>8</v>
      </c>
      <c r="U178">
        <v>2614.7399999999998</v>
      </c>
      <c r="V178" s="4" t="str">
        <f>IF(ROUND(T160*U160, 2)=ROUND(X160, 2), 0, "Flag - Missing Value")</f>
        <v>Flag - Missing Value</v>
      </c>
      <c r="W178" s="4" t="s">
        <v>2794</v>
      </c>
      <c r="X178">
        <v>15688.44</v>
      </c>
      <c r="Y178" s="4" t="str">
        <f t="shared" si="16"/>
        <v>Cannot Calculate</v>
      </c>
      <c r="Z178">
        <v>10047.33</v>
      </c>
      <c r="AA178">
        <v>5641.11</v>
      </c>
      <c r="AB178" s="4" t="str">
        <f t="shared" si="21"/>
        <v>Cannot Calculate</v>
      </c>
      <c r="AC178" s="9">
        <f t="shared" si="22"/>
        <v>0</v>
      </c>
      <c r="AD178" t="s">
        <v>32</v>
      </c>
      <c r="AE178" t="s">
        <v>68</v>
      </c>
      <c r="AF178" t="str">
        <f t="shared" si="23"/>
        <v>Calculation Blocked</v>
      </c>
    </row>
    <row r="179" spans="1:32">
      <c r="A179" t="str">
        <f>IF(OR(I179&lt;0, ISTEXT(W179), ISTEXT(Y179)), "Invalid", IF(OR(B179="Conflicting Duplicate", M179="Unknown", S179="Unknown"), "Warning", "Valid"))</f>
        <v>Valid</v>
      </c>
      <c r="B179" t="str">
        <f t="shared" si="17"/>
        <v>-</v>
      </c>
      <c r="C179" t="s">
        <v>1061</v>
      </c>
      <c r="D179" s="2">
        <v>45475</v>
      </c>
      <c r="E179" t="str">
        <f t="shared" si="18"/>
        <v>July</v>
      </c>
      <c r="F179">
        <f t="shared" si="19"/>
        <v>2024</v>
      </c>
      <c r="G179" s="2">
        <v>45481</v>
      </c>
      <c r="H179" t="s">
        <v>1062</v>
      </c>
      <c r="I179">
        <f t="shared" si="20"/>
        <v>6</v>
      </c>
      <c r="J179" t="s">
        <v>2795</v>
      </c>
      <c r="K179" t="s">
        <v>141</v>
      </c>
      <c r="L179" t="s">
        <v>24</v>
      </c>
      <c r="M179" t="s">
        <v>25</v>
      </c>
      <c r="N179" t="s">
        <v>350</v>
      </c>
      <c r="O179" t="s">
        <v>351</v>
      </c>
      <c r="P179" t="s">
        <v>28</v>
      </c>
      <c r="Q179" t="s">
        <v>29</v>
      </c>
      <c r="R179" t="s">
        <v>1063</v>
      </c>
      <c r="S179" t="s">
        <v>59</v>
      </c>
      <c r="T179">
        <v>9</v>
      </c>
      <c r="U179">
        <v>3450.4</v>
      </c>
      <c r="V179">
        <v>0.05</v>
      </c>
      <c r="W179">
        <v>0.05</v>
      </c>
      <c r="X179">
        <v>29500.92</v>
      </c>
      <c r="Y179">
        <f t="shared" si="16"/>
        <v>29500.92</v>
      </c>
      <c r="Z179">
        <v>17989.68</v>
      </c>
      <c r="AA179">
        <v>11511.24</v>
      </c>
      <c r="AB179">
        <f t="shared" si="21"/>
        <v>11511.239999999998</v>
      </c>
      <c r="AC179" s="8">
        <f t="shared" si="22"/>
        <v>0.39019935649464488</v>
      </c>
      <c r="AD179" t="s">
        <v>111</v>
      </c>
      <c r="AE179" t="s">
        <v>103</v>
      </c>
      <c r="AF179" t="str">
        <f t="shared" si="23"/>
        <v>Perfect Match</v>
      </c>
    </row>
    <row r="180" spans="1:32">
      <c r="A180" t="str">
        <f>IF(OR(I180&lt;0, ISTEXT(W180), ISTEXT(Y180)), "Invalid", IF(OR(B180="Conflicting Duplicate", M180="Unknown", S180="Unknown"), "Warning", "Valid"))</f>
        <v>Valid</v>
      </c>
      <c r="B180" t="str">
        <f t="shared" si="17"/>
        <v>-</v>
      </c>
      <c r="C180" t="s">
        <v>1064</v>
      </c>
      <c r="D180" s="2">
        <v>45338</v>
      </c>
      <c r="E180" t="str">
        <f t="shared" si="18"/>
        <v>February</v>
      </c>
      <c r="F180">
        <f t="shared" si="19"/>
        <v>2024</v>
      </c>
      <c r="G180" s="2">
        <v>45340</v>
      </c>
      <c r="H180" t="s">
        <v>1065</v>
      </c>
      <c r="I180">
        <f t="shared" si="20"/>
        <v>2</v>
      </c>
      <c r="J180" t="s">
        <v>2795</v>
      </c>
      <c r="K180" t="s">
        <v>23</v>
      </c>
      <c r="L180" t="s">
        <v>90</v>
      </c>
      <c r="M180" t="s">
        <v>25</v>
      </c>
      <c r="N180" t="s">
        <v>122</v>
      </c>
      <c r="O180" t="s">
        <v>123</v>
      </c>
      <c r="P180" t="s">
        <v>28</v>
      </c>
      <c r="Q180" t="s">
        <v>91</v>
      </c>
      <c r="R180" t="s">
        <v>1066</v>
      </c>
      <c r="S180" t="s">
        <v>59</v>
      </c>
      <c r="T180">
        <v>2</v>
      </c>
      <c r="U180">
        <v>1947.53</v>
      </c>
      <c r="V180">
        <v>0.2</v>
      </c>
      <c r="W180">
        <v>0.2</v>
      </c>
      <c r="X180">
        <v>3116.05</v>
      </c>
      <c r="Y180">
        <f t="shared" si="16"/>
        <v>3116.05</v>
      </c>
      <c r="Z180">
        <v>1956.63</v>
      </c>
      <c r="AA180">
        <v>1159.42</v>
      </c>
      <c r="AB180">
        <f t="shared" si="21"/>
        <v>1159.42</v>
      </c>
      <c r="AC180" s="8">
        <f t="shared" si="22"/>
        <v>0.37208003722661703</v>
      </c>
      <c r="AD180" t="s">
        <v>32</v>
      </c>
      <c r="AE180" t="s">
        <v>68</v>
      </c>
      <c r="AF180" t="str">
        <f t="shared" si="23"/>
        <v>Perfect Match</v>
      </c>
    </row>
    <row r="181" spans="1:32">
      <c r="A181" t="str">
        <f>IF(OR(I181&lt;0, ISTEXT(W181), ISTEXT(Y181)), "Invalid", IF(OR(B181="Conflicting Duplicate", M181="Unknown", S181="Unknown"), "Warning", "Valid"))</f>
        <v>Valid</v>
      </c>
      <c r="B181" t="str">
        <f t="shared" si="17"/>
        <v>-</v>
      </c>
      <c r="C181" t="s">
        <v>1070</v>
      </c>
      <c r="D181" s="2">
        <v>45407</v>
      </c>
      <c r="E181" t="str">
        <f t="shared" si="18"/>
        <v>April</v>
      </c>
      <c r="F181">
        <f t="shared" si="19"/>
        <v>2024</v>
      </c>
      <c r="G181" s="2">
        <v>45412</v>
      </c>
      <c r="H181" t="s">
        <v>1071</v>
      </c>
      <c r="I181">
        <f t="shared" si="20"/>
        <v>5</v>
      </c>
      <c r="J181" t="s">
        <v>2795</v>
      </c>
      <c r="K181" t="s">
        <v>36</v>
      </c>
      <c r="L181" t="s">
        <v>37</v>
      </c>
      <c r="M181" t="s">
        <v>54</v>
      </c>
      <c r="N181" t="s">
        <v>175</v>
      </c>
      <c r="O181" t="s">
        <v>176</v>
      </c>
      <c r="P181" t="s">
        <v>74</v>
      </c>
      <c r="Q181" t="s">
        <v>171</v>
      </c>
      <c r="R181" t="s">
        <v>1072</v>
      </c>
      <c r="S181" t="s">
        <v>59</v>
      </c>
      <c r="T181">
        <v>3</v>
      </c>
      <c r="U181">
        <v>4149.46</v>
      </c>
      <c r="V181">
        <v>0.1</v>
      </c>
      <c r="W181">
        <v>0.1</v>
      </c>
      <c r="X181">
        <v>11203.54</v>
      </c>
      <c r="Y181">
        <f t="shared" si="16"/>
        <v>11203.54</v>
      </c>
      <c r="Z181">
        <v>8452.93</v>
      </c>
      <c r="AA181">
        <v>2750.61</v>
      </c>
      <c r="AB181">
        <f t="shared" si="21"/>
        <v>2750.6100000000006</v>
      </c>
      <c r="AC181" s="8">
        <f t="shared" si="22"/>
        <v>0.2455125790598329</v>
      </c>
      <c r="AD181" t="s">
        <v>32</v>
      </c>
      <c r="AE181" t="s">
        <v>33</v>
      </c>
      <c r="AF181" t="str">
        <f t="shared" si="23"/>
        <v>Perfect Match</v>
      </c>
    </row>
    <row r="182" spans="1:32">
      <c r="A182" t="str">
        <f>IF(OR(I182&lt;0, ISTEXT(W182), ISTEXT(Y182)), "Invalid", IF(OR(B182="Conflicting Duplicate", M182="Unknown", S182="Unknown"), "Warning", "Valid"))</f>
        <v>Valid</v>
      </c>
      <c r="B182" t="str">
        <f t="shared" si="17"/>
        <v>-</v>
      </c>
      <c r="C182" t="s">
        <v>1073</v>
      </c>
      <c r="D182" s="2">
        <v>45525</v>
      </c>
      <c r="E182" t="str">
        <f t="shared" si="18"/>
        <v>August</v>
      </c>
      <c r="F182">
        <f t="shared" si="19"/>
        <v>2024</v>
      </c>
      <c r="G182" s="2">
        <v>45529</v>
      </c>
      <c r="H182" t="s">
        <v>1074</v>
      </c>
      <c r="I182">
        <f t="shared" si="20"/>
        <v>4</v>
      </c>
      <c r="J182" t="s">
        <v>2795</v>
      </c>
      <c r="K182" t="s">
        <v>162</v>
      </c>
      <c r="L182" t="s">
        <v>24</v>
      </c>
      <c r="M182" t="s">
        <v>63</v>
      </c>
      <c r="N182" t="s">
        <v>180</v>
      </c>
      <c r="O182" t="s">
        <v>181</v>
      </c>
      <c r="P182" t="s">
        <v>28</v>
      </c>
      <c r="Q182" t="s">
        <v>153</v>
      </c>
      <c r="R182" t="s">
        <v>1075</v>
      </c>
      <c r="S182" t="s">
        <v>50</v>
      </c>
      <c r="T182">
        <v>1</v>
      </c>
      <c r="U182">
        <v>270.27999999999997</v>
      </c>
      <c r="V182">
        <v>0</v>
      </c>
      <c r="W182">
        <v>0</v>
      </c>
      <c r="X182">
        <v>270.27999999999997</v>
      </c>
      <c r="Y182">
        <f t="shared" si="16"/>
        <v>270.27999999999997</v>
      </c>
      <c r="Z182">
        <v>156.34</v>
      </c>
      <c r="AA182">
        <v>113.94</v>
      </c>
      <c r="AB182">
        <f t="shared" si="21"/>
        <v>113.93999999999997</v>
      </c>
      <c r="AC182" s="8">
        <f t="shared" si="22"/>
        <v>0.42156282373834536</v>
      </c>
      <c r="AD182" t="s">
        <v>32</v>
      </c>
      <c r="AE182" t="s">
        <v>33</v>
      </c>
      <c r="AF182" t="str">
        <f t="shared" si="23"/>
        <v>Perfect Match</v>
      </c>
    </row>
    <row r="183" spans="1:32">
      <c r="A183" s="6" t="str">
        <f>IF(OR(I183&lt;0, ISTEXT(W183), ISTEXT(Y183)), "Invalid", IF(OR(B183="Conflicting Duplicate", M183="Unknown", S183="Unknown"), "Warning", "Valid"))</f>
        <v>Invalid</v>
      </c>
      <c r="B183" t="str">
        <f t="shared" si="17"/>
        <v>-</v>
      </c>
      <c r="C183" t="s">
        <v>1076</v>
      </c>
      <c r="D183" s="2">
        <v>45630</v>
      </c>
      <c r="E183" t="str">
        <f t="shared" si="18"/>
        <v>December</v>
      </c>
      <c r="F183">
        <f t="shared" si="19"/>
        <v>2024</v>
      </c>
      <c r="G183" s="2">
        <v>45632</v>
      </c>
      <c r="H183" t="s">
        <v>1077</v>
      </c>
      <c r="I183">
        <f t="shared" si="20"/>
        <v>2</v>
      </c>
      <c r="J183" t="s">
        <v>2795</v>
      </c>
      <c r="K183" t="s">
        <v>128</v>
      </c>
      <c r="L183" t="s">
        <v>95</v>
      </c>
      <c r="M183" t="s">
        <v>38</v>
      </c>
      <c r="N183" t="s">
        <v>99</v>
      </c>
      <c r="O183" t="s">
        <v>100</v>
      </c>
      <c r="P183" t="s">
        <v>28</v>
      </c>
      <c r="Q183" t="s">
        <v>48</v>
      </c>
      <c r="R183" t="s">
        <v>1078</v>
      </c>
      <c r="S183" t="s">
        <v>31</v>
      </c>
      <c r="T183">
        <v>3</v>
      </c>
      <c r="U183">
        <v>876.14</v>
      </c>
      <c r="V183" s="5">
        <v>0.7</v>
      </c>
      <c r="W183" s="4" t="s">
        <v>2794</v>
      </c>
      <c r="X183">
        <v>2628.42</v>
      </c>
      <c r="Y183" s="4" t="str">
        <f t="shared" si="16"/>
        <v>Cannot Calculate</v>
      </c>
      <c r="Z183">
        <v>1541.54</v>
      </c>
      <c r="AA183">
        <v>1086.8800000000001</v>
      </c>
      <c r="AB183" s="4" t="str">
        <f t="shared" si="21"/>
        <v>Cannot Calculate</v>
      </c>
      <c r="AC183" s="9">
        <f t="shared" si="22"/>
        <v>0</v>
      </c>
      <c r="AD183" t="s">
        <v>111</v>
      </c>
      <c r="AE183" t="s">
        <v>103</v>
      </c>
      <c r="AF183" t="str">
        <f t="shared" si="23"/>
        <v>Calculation Blocked</v>
      </c>
    </row>
    <row r="184" spans="1:32">
      <c r="A184" t="str">
        <f>IF(OR(I184&lt;0, ISTEXT(W184), ISTEXT(Y184)), "Invalid", IF(OR(B184="Conflicting Duplicate", M184="Unknown", S184="Unknown"), "Warning", "Valid"))</f>
        <v>Valid</v>
      </c>
      <c r="B184" t="str">
        <f t="shared" si="17"/>
        <v>-</v>
      </c>
      <c r="C184" t="s">
        <v>1079</v>
      </c>
      <c r="D184" s="2">
        <v>45466</v>
      </c>
      <c r="E184" t="str">
        <f t="shared" si="18"/>
        <v>June</v>
      </c>
      <c r="F184">
        <f t="shared" si="19"/>
        <v>2024</v>
      </c>
      <c r="G184" s="2">
        <v>45473</v>
      </c>
      <c r="H184" t="s">
        <v>1080</v>
      </c>
      <c r="I184">
        <f t="shared" si="20"/>
        <v>7</v>
      </c>
      <c r="J184" t="s">
        <v>2795</v>
      </c>
      <c r="K184" t="s">
        <v>79</v>
      </c>
      <c r="L184" t="s">
        <v>37</v>
      </c>
      <c r="M184" t="s">
        <v>63</v>
      </c>
      <c r="N184" t="s">
        <v>190</v>
      </c>
      <c r="O184" t="s">
        <v>191</v>
      </c>
      <c r="P184" t="s">
        <v>74</v>
      </c>
      <c r="Q184" t="s">
        <v>75</v>
      </c>
      <c r="R184" t="s">
        <v>1081</v>
      </c>
      <c r="S184" t="s">
        <v>44</v>
      </c>
      <c r="T184">
        <v>4</v>
      </c>
      <c r="U184">
        <v>674.82</v>
      </c>
      <c r="V184">
        <v>0</v>
      </c>
      <c r="W184">
        <v>0</v>
      </c>
      <c r="X184">
        <v>2699.28</v>
      </c>
      <c r="Y184">
        <f t="shared" si="16"/>
        <v>2699.28</v>
      </c>
      <c r="Z184">
        <v>1759.76</v>
      </c>
      <c r="AA184">
        <v>939.52</v>
      </c>
      <c r="AB184">
        <f t="shared" si="21"/>
        <v>939.52000000000021</v>
      </c>
      <c r="AC184" s="8">
        <f t="shared" si="22"/>
        <v>0.34806318722029583</v>
      </c>
      <c r="AD184" t="s">
        <v>155</v>
      </c>
      <c r="AE184" t="s">
        <v>68</v>
      </c>
      <c r="AF184" t="str">
        <f t="shared" si="23"/>
        <v>Perfect Match</v>
      </c>
    </row>
    <row r="185" spans="1:32">
      <c r="A185" t="str">
        <f>IF(OR(I185&lt;0, ISTEXT(W185), ISTEXT(Y185)), "Invalid", IF(OR(B185="Conflicting Duplicate", M185="Unknown", S185="Unknown"), "Warning", "Valid"))</f>
        <v>Valid</v>
      </c>
      <c r="B185" t="str">
        <f t="shared" si="17"/>
        <v>-</v>
      </c>
      <c r="C185" t="s">
        <v>1082</v>
      </c>
      <c r="D185" s="2">
        <v>45608</v>
      </c>
      <c r="E185" t="str">
        <f t="shared" si="18"/>
        <v>November</v>
      </c>
      <c r="F185">
        <f t="shared" si="19"/>
        <v>2024</v>
      </c>
      <c r="G185" s="2">
        <v>45637</v>
      </c>
      <c r="H185" t="s">
        <v>1083</v>
      </c>
      <c r="I185">
        <f t="shared" si="20"/>
        <v>29</v>
      </c>
      <c r="J185" t="s">
        <v>2795</v>
      </c>
      <c r="K185" t="s">
        <v>47</v>
      </c>
      <c r="L185" t="s">
        <v>24</v>
      </c>
      <c r="M185" t="s">
        <v>25</v>
      </c>
      <c r="N185" t="s">
        <v>136</v>
      </c>
      <c r="O185" t="s">
        <v>137</v>
      </c>
      <c r="P185" t="s">
        <v>74</v>
      </c>
      <c r="Q185" t="s">
        <v>171</v>
      </c>
      <c r="R185" t="s">
        <v>1084</v>
      </c>
      <c r="S185" t="s">
        <v>31</v>
      </c>
      <c r="T185">
        <v>6</v>
      </c>
      <c r="U185">
        <v>1369.48</v>
      </c>
      <c r="V185">
        <v>0.15</v>
      </c>
      <c r="W185">
        <v>0.15</v>
      </c>
      <c r="X185">
        <v>6984.35</v>
      </c>
      <c r="Y185">
        <f t="shared" si="16"/>
        <v>6984.35</v>
      </c>
      <c r="Z185">
        <v>4023.63</v>
      </c>
      <c r="AA185">
        <v>2960.72</v>
      </c>
      <c r="AB185">
        <f t="shared" si="21"/>
        <v>2960.7200000000003</v>
      </c>
      <c r="AC185" s="8">
        <f t="shared" si="22"/>
        <v>0.4239077365825023</v>
      </c>
      <c r="AD185" t="s">
        <v>32</v>
      </c>
      <c r="AE185" t="s">
        <v>33</v>
      </c>
      <c r="AF185" t="str">
        <f t="shared" si="23"/>
        <v>Perfect Match</v>
      </c>
    </row>
    <row r="186" spans="1:32">
      <c r="A186" t="str">
        <f>IF(OR(I186&lt;0, ISTEXT(W186), ISTEXT(Y186)), "Invalid", IF(OR(B186="Conflicting Duplicate", M186="Unknown", S186="Unknown"), "Warning", "Valid"))</f>
        <v>Valid</v>
      </c>
      <c r="B186" t="str">
        <f t="shared" si="17"/>
        <v>-</v>
      </c>
      <c r="C186" t="s">
        <v>1085</v>
      </c>
      <c r="D186" s="2">
        <v>45347</v>
      </c>
      <c r="E186" t="str">
        <f t="shared" si="18"/>
        <v>February</v>
      </c>
      <c r="F186">
        <f t="shared" si="19"/>
        <v>2024</v>
      </c>
      <c r="G186" s="2">
        <v>45351</v>
      </c>
      <c r="H186" t="s">
        <v>1086</v>
      </c>
      <c r="I186">
        <f t="shared" si="20"/>
        <v>4</v>
      </c>
      <c r="J186" t="s">
        <v>2795</v>
      </c>
      <c r="K186" t="s">
        <v>47</v>
      </c>
      <c r="L186" t="s">
        <v>37</v>
      </c>
      <c r="M186" t="s">
        <v>63</v>
      </c>
      <c r="N186" t="s">
        <v>190</v>
      </c>
      <c r="O186" t="s">
        <v>191</v>
      </c>
      <c r="P186" t="s">
        <v>41</v>
      </c>
      <c r="Q186" t="s">
        <v>57</v>
      </c>
      <c r="R186" t="s">
        <v>150</v>
      </c>
      <c r="S186" t="s">
        <v>59</v>
      </c>
      <c r="T186">
        <v>9</v>
      </c>
      <c r="U186">
        <v>1331.46</v>
      </c>
      <c r="V186">
        <v>0.15</v>
      </c>
      <c r="W186">
        <v>0.15</v>
      </c>
      <c r="X186">
        <v>10185.67</v>
      </c>
      <c r="Y186">
        <f t="shared" si="16"/>
        <v>10185.67</v>
      </c>
      <c r="Z186">
        <v>6479.31</v>
      </c>
      <c r="AA186">
        <v>3706.36</v>
      </c>
      <c r="AB186">
        <f t="shared" si="21"/>
        <v>3706.3599999999997</v>
      </c>
      <c r="AC186" s="8">
        <f t="shared" si="22"/>
        <v>0.36387984295583892</v>
      </c>
      <c r="AD186" t="s">
        <v>32</v>
      </c>
      <c r="AE186" t="s">
        <v>33</v>
      </c>
      <c r="AF186" t="str">
        <f t="shared" si="23"/>
        <v>Perfect Match</v>
      </c>
    </row>
    <row r="187" spans="1:32">
      <c r="A187" t="str">
        <f>IF(OR(I187&lt;0, ISTEXT(W187), ISTEXT(Y187)), "Invalid", IF(OR(B187="Conflicting Duplicate", M187="Unknown", S187="Unknown"), "Warning", "Valid"))</f>
        <v>Valid</v>
      </c>
      <c r="B187" t="str">
        <f t="shared" si="17"/>
        <v>-</v>
      </c>
      <c r="C187" t="s">
        <v>1096</v>
      </c>
      <c r="D187" s="2">
        <v>45497</v>
      </c>
      <c r="E187" t="str">
        <f t="shared" si="18"/>
        <v>July</v>
      </c>
      <c r="F187">
        <f t="shared" si="19"/>
        <v>2024</v>
      </c>
      <c r="G187" s="2">
        <v>45500</v>
      </c>
      <c r="H187" t="s">
        <v>1097</v>
      </c>
      <c r="I187">
        <f t="shared" si="20"/>
        <v>3</v>
      </c>
      <c r="J187" t="s">
        <v>2795</v>
      </c>
      <c r="K187" t="s">
        <v>47</v>
      </c>
      <c r="L187" t="s">
        <v>24</v>
      </c>
      <c r="M187" t="s">
        <v>63</v>
      </c>
      <c r="N187" t="s">
        <v>26</v>
      </c>
      <c r="O187" t="s">
        <v>109</v>
      </c>
      <c r="P187" t="s">
        <v>74</v>
      </c>
      <c r="Q187" t="s">
        <v>75</v>
      </c>
      <c r="R187" t="s">
        <v>1098</v>
      </c>
      <c r="S187" t="s">
        <v>31</v>
      </c>
      <c r="T187">
        <v>3</v>
      </c>
      <c r="U187">
        <v>1834.55</v>
      </c>
      <c r="V187">
        <v>0.2</v>
      </c>
      <c r="W187">
        <v>0.2</v>
      </c>
      <c r="X187">
        <v>4402.92</v>
      </c>
      <c r="Y187">
        <f t="shared" si="16"/>
        <v>4402.92</v>
      </c>
      <c r="Z187">
        <v>2993.94</v>
      </c>
      <c r="AA187">
        <v>1408.98</v>
      </c>
      <c r="AB187">
        <f t="shared" si="21"/>
        <v>1408.98</v>
      </c>
      <c r="AC187" s="8">
        <f t="shared" si="22"/>
        <v>0.32001035676323897</v>
      </c>
      <c r="AD187" t="s">
        <v>111</v>
      </c>
      <c r="AE187" t="s">
        <v>68</v>
      </c>
      <c r="AF187" t="str">
        <f t="shared" si="23"/>
        <v>Perfect Match</v>
      </c>
    </row>
    <row r="188" spans="1:32">
      <c r="A188" t="str">
        <f>IF(OR(I188&lt;0, ISTEXT(W188), ISTEXT(Y188)), "Invalid", IF(OR(B188="Conflicting Duplicate", M188="Unknown", S188="Unknown"), "Warning", "Valid"))</f>
        <v>Valid</v>
      </c>
      <c r="B188" t="str">
        <f t="shared" si="17"/>
        <v>-</v>
      </c>
      <c r="C188" t="s">
        <v>1105</v>
      </c>
      <c r="D188" s="2">
        <v>45428</v>
      </c>
      <c r="E188" t="str">
        <f t="shared" si="18"/>
        <v>May</v>
      </c>
      <c r="F188">
        <f t="shared" si="19"/>
        <v>2024</v>
      </c>
      <c r="G188" s="2">
        <v>45436</v>
      </c>
      <c r="H188" t="s">
        <v>1106</v>
      </c>
      <c r="I188">
        <f t="shared" si="20"/>
        <v>8</v>
      </c>
      <c r="J188" t="s">
        <v>2795</v>
      </c>
      <c r="K188" t="s">
        <v>53</v>
      </c>
      <c r="L188" t="s">
        <v>95</v>
      </c>
      <c r="M188" t="s">
        <v>25</v>
      </c>
      <c r="N188" t="s">
        <v>122</v>
      </c>
      <c r="O188" t="s">
        <v>123</v>
      </c>
      <c r="P188" t="s">
        <v>74</v>
      </c>
      <c r="Q188" t="s">
        <v>75</v>
      </c>
      <c r="R188" t="s">
        <v>1107</v>
      </c>
      <c r="S188" t="s">
        <v>44</v>
      </c>
      <c r="T188">
        <v>1</v>
      </c>
      <c r="U188">
        <v>783.09</v>
      </c>
      <c r="V188">
        <v>0</v>
      </c>
      <c r="W188">
        <v>0</v>
      </c>
      <c r="X188">
        <v>783.09</v>
      </c>
      <c r="Y188">
        <f t="shared" si="16"/>
        <v>783.09</v>
      </c>
      <c r="Z188">
        <v>503.89</v>
      </c>
      <c r="AA188">
        <v>279.2</v>
      </c>
      <c r="AB188">
        <f t="shared" si="21"/>
        <v>279.20000000000005</v>
      </c>
      <c r="AC188" s="8">
        <f t="shared" si="22"/>
        <v>0.3565362857398256</v>
      </c>
      <c r="AD188" t="s">
        <v>155</v>
      </c>
      <c r="AE188" t="s">
        <v>68</v>
      </c>
      <c r="AF188" t="str">
        <f t="shared" si="23"/>
        <v>Perfect Match</v>
      </c>
    </row>
    <row r="189" spans="1:32">
      <c r="A189" s="6" t="str">
        <f>IF(OR(I189&lt;0, ISTEXT(W189), ISTEXT(Y189)), "Invalid", IF(OR(B189="Conflicting Duplicate", M189="Unknown", S189="Unknown"), "Warning", "Valid"))</f>
        <v>Warning</v>
      </c>
      <c r="B189" t="str">
        <f t="shared" si="17"/>
        <v>Conflicting Duplicate</v>
      </c>
      <c r="C189" t="s">
        <v>1108</v>
      </c>
      <c r="D189" s="2">
        <v>45394</v>
      </c>
      <c r="E189" t="str">
        <f t="shared" si="18"/>
        <v>April</v>
      </c>
      <c r="F189">
        <f t="shared" si="19"/>
        <v>2024</v>
      </c>
      <c r="G189" s="2">
        <v>45632</v>
      </c>
      <c r="H189" t="s">
        <v>1109</v>
      </c>
      <c r="I189">
        <f t="shared" si="20"/>
        <v>238</v>
      </c>
      <c r="J189" t="s">
        <v>2795</v>
      </c>
      <c r="K189" t="s">
        <v>132</v>
      </c>
      <c r="L189" t="s">
        <v>95</v>
      </c>
      <c r="M189" t="s">
        <v>38</v>
      </c>
      <c r="N189" t="s">
        <v>39</v>
      </c>
      <c r="O189" t="s">
        <v>40</v>
      </c>
      <c r="P189" t="s">
        <v>28</v>
      </c>
      <c r="Q189" t="s">
        <v>153</v>
      </c>
      <c r="R189" t="s">
        <v>1110</v>
      </c>
      <c r="S189" t="s">
        <v>31</v>
      </c>
      <c r="T189">
        <v>4</v>
      </c>
      <c r="U189">
        <v>2685.66</v>
      </c>
      <c r="V189">
        <v>0</v>
      </c>
      <c r="W189">
        <v>0</v>
      </c>
      <c r="X189">
        <v>10742.64</v>
      </c>
      <c r="Y189">
        <f t="shared" si="16"/>
        <v>10742.64</v>
      </c>
      <c r="Z189">
        <v>6477.37</v>
      </c>
      <c r="AA189">
        <v>4265.2700000000004</v>
      </c>
      <c r="AB189">
        <f t="shared" si="21"/>
        <v>4265.2699999999995</v>
      </c>
      <c r="AC189" s="8">
        <f t="shared" si="22"/>
        <v>0.39704113700170535</v>
      </c>
      <c r="AD189" t="s">
        <v>32</v>
      </c>
      <c r="AE189" t="s">
        <v>103</v>
      </c>
      <c r="AF189" t="str">
        <f t="shared" si="23"/>
        <v>Perfect Match</v>
      </c>
    </row>
    <row r="190" spans="1:32">
      <c r="A190" s="6" t="str">
        <f>IF(OR(I190&lt;0, ISTEXT(W190), ISTEXT(Y190)), "Invalid", IF(OR(B190="Conflicting Duplicate", M190="Unknown", S190="Unknown"), "Warning", "Valid"))</f>
        <v>Warning</v>
      </c>
      <c r="B190" t="str">
        <f t="shared" si="17"/>
        <v>Conflicting Duplicate</v>
      </c>
      <c r="C190" t="s">
        <v>1108</v>
      </c>
      <c r="D190" s="2">
        <v>45394</v>
      </c>
      <c r="E190" t="str">
        <f t="shared" si="18"/>
        <v>April</v>
      </c>
      <c r="F190">
        <f t="shared" si="19"/>
        <v>2024</v>
      </c>
      <c r="G190" s="2">
        <v>45632</v>
      </c>
      <c r="H190" t="s">
        <v>1109</v>
      </c>
      <c r="I190">
        <f t="shared" si="20"/>
        <v>238</v>
      </c>
      <c r="J190" t="s">
        <v>2795</v>
      </c>
      <c r="K190" t="s">
        <v>132</v>
      </c>
      <c r="L190" t="s">
        <v>95</v>
      </c>
      <c r="M190" t="s">
        <v>38</v>
      </c>
      <c r="N190" t="s">
        <v>39</v>
      </c>
      <c r="O190" t="s">
        <v>40</v>
      </c>
      <c r="P190" t="s">
        <v>28</v>
      </c>
      <c r="Q190" t="s">
        <v>153</v>
      </c>
      <c r="R190" t="s">
        <v>1110</v>
      </c>
      <c r="S190" t="s">
        <v>31</v>
      </c>
      <c r="T190">
        <v>4</v>
      </c>
      <c r="U190">
        <v>2685.66</v>
      </c>
      <c r="V190">
        <v>0</v>
      </c>
      <c r="W190">
        <v>0</v>
      </c>
      <c r="X190">
        <v>10989.89</v>
      </c>
      <c r="Y190">
        <f t="shared" si="16"/>
        <v>10742.64</v>
      </c>
      <c r="Z190">
        <v>6477.37</v>
      </c>
      <c r="AA190">
        <v>4265.2700000000004</v>
      </c>
      <c r="AB190">
        <f t="shared" si="21"/>
        <v>4265.2699999999995</v>
      </c>
      <c r="AC190" s="8">
        <f t="shared" si="22"/>
        <v>0.39704113700170535</v>
      </c>
      <c r="AD190" t="s">
        <v>32</v>
      </c>
      <c r="AE190" t="s">
        <v>33</v>
      </c>
      <c r="AF190" t="str">
        <f t="shared" si="23"/>
        <v>Mismatch Found</v>
      </c>
    </row>
    <row r="191" spans="1:32">
      <c r="A191" t="str">
        <f>IF(OR(I191&lt;0, ISTEXT(W191), ISTEXT(Y191)), "Invalid", IF(OR(B191="Conflicting Duplicate", M191="Unknown", S191="Unknown"), "Warning", "Valid"))</f>
        <v>Valid</v>
      </c>
      <c r="B191" t="str">
        <f t="shared" si="17"/>
        <v>-</v>
      </c>
      <c r="C191" t="s">
        <v>1118</v>
      </c>
      <c r="D191" s="2">
        <v>45547</v>
      </c>
      <c r="E191" t="str">
        <f t="shared" si="18"/>
        <v>September</v>
      </c>
      <c r="F191">
        <f t="shared" si="19"/>
        <v>2024</v>
      </c>
      <c r="G191" s="2">
        <v>45552</v>
      </c>
      <c r="H191" t="s">
        <v>1119</v>
      </c>
      <c r="I191">
        <f t="shared" si="20"/>
        <v>5</v>
      </c>
      <c r="J191" t="s">
        <v>2795</v>
      </c>
      <c r="K191" t="s">
        <v>62</v>
      </c>
      <c r="L191" t="s">
        <v>24</v>
      </c>
      <c r="M191" t="s">
        <v>38</v>
      </c>
      <c r="N191" t="s">
        <v>228</v>
      </c>
      <c r="O191" t="s">
        <v>229</v>
      </c>
      <c r="P191" t="s">
        <v>28</v>
      </c>
      <c r="Q191" t="s">
        <v>124</v>
      </c>
      <c r="R191" t="s">
        <v>1120</v>
      </c>
      <c r="S191" t="s">
        <v>50</v>
      </c>
      <c r="T191">
        <v>9</v>
      </c>
      <c r="U191">
        <v>1921.47</v>
      </c>
      <c r="V191">
        <v>0.25</v>
      </c>
      <c r="W191">
        <v>0.25</v>
      </c>
      <c r="X191">
        <v>12969.92</v>
      </c>
      <c r="Y191">
        <f t="shared" si="16"/>
        <v>12969.92</v>
      </c>
      <c r="Z191">
        <v>9398.4599999999991</v>
      </c>
      <c r="AA191">
        <v>3571.46</v>
      </c>
      <c r="AB191">
        <f t="shared" si="21"/>
        <v>3571.4600000000009</v>
      </c>
      <c r="AC191" s="8">
        <f t="shared" si="22"/>
        <v>0.27536484419333357</v>
      </c>
      <c r="AD191" t="s">
        <v>32</v>
      </c>
      <c r="AE191" t="s">
        <v>33</v>
      </c>
      <c r="AF191" t="str">
        <f t="shared" si="23"/>
        <v>Perfect Match</v>
      </c>
    </row>
    <row r="192" spans="1:32">
      <c r="A192" t="str">
        <f>IF(OR(I192&lt;0, ISTEXT(W192), ISTEXT(Y192)), "Invalid", IF(OR(B192="Conflicting Duplicate", M192="Unknown", S192="Unknown"), "Warning", "Valid"))</f>
        <v>Valid</v>
      </c>
      <c r="B192" t="str">
        <f t="shared" si="17"/>
        <v>-</v>
      </c>
      <c r="C192" t="s">
        <v>1124</v>
      </c>
      <c r="D192" s="2">
        <v>45368</v>
      </c>
      <c r="E192" t="str">
        <f t="shared" si="18"/>
        <v>March</v>
      </c>
      <c r="F192">
        <f t="shared" si="19"/>
        <v>2024</v>
      </c>
      <c r="G192" s="2">
        <v>45372</v>
      </c>
      <c r="H192" t="s">
        <v>874</v>
      </c>
      <c r="I192">
        <f t="shared" si="20"/>
        <v>4</v>
      </c>
      <c r="J192" t="s">
        <v>2795</v>
      </c>
      <c r="K192" t="s">
        <v>128</v>
      </c>
      <c r="L192" t="s">
        <v>24</v>
      </c>
      <c r="M192" t="s">
        <v>25</v>
      </c>
      <c r="N192" t="s">
        <v>26</v>
      </c>
      <c r="O192" t="s">
        <v>27</v>
      </c>
      <c r="P192" t="s">
        <v>74</v>
      </c>
      <c r="Q192" t="s">
        <v>80</v>
      </c>
      <c r="R192" t="s">
        <v>1125</v>
      </c>
      <c r="S192" t="s">
        <v>50</v>
      </c>
      <c r="T192">
        <v>8</v>
      </c>
      <c r="U192">
        <v>1992.57</v>
      </c>
      <c r="V192">
        <v>0</v>
      </c>
      <c r="W192">
        <v>0</v>
      </c>
      <c r="X192">
        <v>15940.56</v>
      </c>
      <c r="Y192">
        <f t="shared" si="16"/>
        <v>15940.56</v>
      </c>
      <c r="Z192">
        <v>12347.15</v>
      </c>
      <c r="AA192">
        <v>3593.41</v>
      </c>
      <c r="AB192">
        <f t="shared" si="21"/>
        <v>3593.41</v>
      </c>
      <c r="AC192" s="8">
        <f t="shared" si="22"/>
        <v>0.2254255810335396</v>
      </c>
      <c r="AD192" t="s">
        <v>32</v>
      </c>
      <c r="AE192" t="s">
        <v>33</v>
      </c>
      <c r="AF192" t="str">
        <f t="shared" si="23"/>
        <v>Perfect Match</v>
      </c>
    </row>
    <row r="193" spans="1:32">
      <c r="A193" t="str">
        <f>IF(OR(I193&lt;0, ISTEXT(W193), ISTEXT(Y193)), "Invalid", IF(OR(B193="Conflicting Duplicate", M193="Unknown", S193="Unknown"), "Warning", "Valid"))</f>
        <v>Valid</v>
      </c>
      <c r="B193" t="str">
        <f t="shared" si="17"/>
        <v>-</v>
      </c>
      <c r="C193" t="s">
        <v>1126</v>
      </c>
      <c r="D193" s="2">
        <v>45516</v>
      </c>
      <c r="E193" t="str">
        <f t="shared" si="18"/>
        <v>August</v>
      </c>
      <c r="F193">
        <f t="shared" si="19"/>
        <v>2024</v>
      </c>
      <c r="G193" s="2">
        <v>45522</v>
      </c>
      <c r="H193" t="s">
        <v>1127</v>
      </c>
      <c r="I193">
        <f t="shared" si="20"/>
        <v>6</v>
      </c>
      <c r="J193" t="s">
        <v>2795</v>
      </c>
      <c r="K193" t="s">
        <v>62</v>
      </c>
      <c r="L193" t="s">
        <v>24</v>
      </c>
      <c r="M193" t="s">
        <v>38</v>
      </c>
      <c r="N193" t="s">
        <v>166</v>
      </c>
      <c r="O193" t="s">
        <v>167</v>
      </c>
      <c r="P193" t="s">
        <v>28</v>
      </c>
      <c r="Q193" t="s">
        <v>91</v>
      </c>
      <c r="R193" t="s">
        <v>1128</v>
      </c>
      <c r="S193" t="s">
        <v>44</v>
      </c>
      <c r="T193">
        <v>6</v>
      </c>
      <c r="U193">
        <v>1181.74</v>
      </c>
      <c r="V193">
        <v>0</v>
      </c>
      <c r="W193">
        <v>0</v>
      </c>
      <c r="X193">
        <v>7090.44</v>
      </c>
      <c r="Y193">
        <f t="shared" si="16"/>
        <v>7090.44</v>
      </c>
      <c r="Z193">
        <v>5672.27</v>
      </c>
      <c r="AA193">
        <v>1262.8699999999999</v>
      </c>
      <c r="AB193">
        <f t="shared" si="21"/>
        <v>1418.1699999999992</v>
      </c>
      <c r="AC193" s="8">
        <f t="shared" si="22"/>
        <v>0.20001156486762448</v>
      </c>
      <c r="AD193" t="s">
        <v>32</v>
      </c>
      <c r="AE193" t="s">
        <v>33</v>
      </c>
      <c r="AF193" t="str">
        <f t="shared" si="23"/>
        <v>Mismatch Found</v>
      </c>
    </row>
    <row r="194" spans="1:32">
      <c r="A194" t="str">
        <f>IF(OR(I194&lt;0, ISTEXT(W194), ISTEXT(Y194)), "Invalid", IF(OR(B194="Conflicting Duplicate", M194="Unknown", S194="Unknown"), "Warning", "Valid"))</f>
        <v>Valid</v>
      </c>
      <c r="B194" t="str">
        <f t="shared" si="17"/>
        <v>-</v>
      </c>
      <c r="C194" t="s">
        <v>1129</v>
      </c>
      <c r="D194" s="2">
        <v>45516</v>
      </c>
      <c r="E194" t="str">
        <f t="shared" si="18"/>
        <v>August</v>
      </c>
      <c r="F194">
        <f t="shared" si="19"/>
        <v>2024</v>
      </c>
      <c r="G194" s="2">
        <v>45634</v>
      </c>
      <c r="H194" t="s">
        <v>1130</v>
      </c>
      <c r="I194">
        <f t="shared" si="20"/>
        <v>118</v>
      </c>
      <c r="J194" t="s">
        <v>2795</v>
      </c>
      <c r="K194" t="s">
        <v>53</v>
      </c>
      <c r="L194" t="s">
        <v>37</v>
      </c>
      <c r="M194" t="s">
        <v>54</v>
      </c>
      <c r="N194" t="s">
        <v>84</v>
      </c>
      <c r="O194" t="s">
        <v>85</v>
      </c>
      <c r="P194" t="s">
        <v>74</v>
      </c>
      <c r="Q194" t="s">
        <v>75</v>
      </c>
      <c r="R194" t="s">
        <v>1131</v>
      </c>
      <c r="S194" t="s">
        <v>50</v>
      </c>
      <c r="T194">
        <v>8</v>
      </c>
      <c r="U194">
        <v>4402.3599999999997</v>
      </c>
      <c r="V194">
        <v>0.25</v>
      </c>
      <c r="W194">
        <v>0.25</v>
      </c>
      <c r="X194">
        <v>26414.16</v>
      </c>
      <c r="Y194">
        <f t="shared" ref="Y194:Y257" si="24">IF(ISTEXT(W194), "Cannot Calculate", ROUND(T194 * U194 * (1 - W194), 2))</f>
        <v>26414.16</v>
      </c>
      <c r="Z194">
        <v>21822.53</v>
      </c>
      <c r="AA194">
        <v>4591.63</v>
      </c>
      <c r="AB194">
        <f t="shared" si="21"/>
        <v>4591.630000000001</v>
      </c>
      <c r="AC194" s="8">
        <f t="shared" si="22"/>
        <v>0.17383214154832108</v>
      </c>
      <c r="AD194" t="s">
        <v>32</v>
      </c>
      <c r="AE194" t="s">
        <v>33</v>
      </c>
      <c r="AF194" t="str">
        <f t="shared" si="23"/>
        <v>Perfect Match</v>
      </c>
    </row>
    <row r="195" spans="1:32">
      <c r="A195" t="str">
        <f>IF(OR(I195&lt;0, ISTEXT(W195), ISTEXT(Y195)), "Invalid", IF(OR(B195="Conflicting Duplicate", M195="Unknown", S195="Unknown"), "Warning", "Valid"))</f>
        <v>Valid</v>
      </c>
      <c r="B195" t="str">
        <f t="shared" ref="B195:B258" si="25">IF(COUNTIF(C:C, C195)&gt;1, "Conflicting Duplicate", "-")</f>
        <v>-</v>
      </c>
      <c r="C195" t="s">
        <v>1135</v>
      </c>
      <c r="D195" s="2">
        <v>45312</v>
      </c>
      <c r="E195" t="str">
        <f t="shared" ref="E195:E258" si="26">TEXT(D195, "mmmm")</f>
        <v>January</v>
      </c>
      <c r="F195">
        <f t="shared" ref="F195:F258" si="27">YEAR(D195)</f>
        <v>2024</v>
      </c>
      <c r="G195" s="2">
        <v>45320</v>
      </c>
      <c r="H195" t="s">
        <v>1136</v>
      </c>
      <c r="I195">
        <f t="shared" ref="I195:I258" si="28">G195-D195</f>
        <v>8</v>
      </c>
      <c r="J195" t="s">
        <v>2795</v>
      </c>
      <c r="K195" t="s">
        <v>79</v>
      </c>
      <c r="L195" t="s">
        <v>24</v>
      </c>
      <c r="M195" t="s">
        <v>54</v>
      </c>
      <c r="N195" t="s">
        <v>175</v>
      </c>
      <c r="O195" t="s">
        <v>176</v>
      </c>
      <c r="P195" t="s">
        <v>28</v>
      </c>
      <c r="Q195" t="s">
        <v>153</v>
      </c>
      <c r="R195" t="s">
        <v>1137</v>
      </c>
      <c r="S195" t="s">
        <v>59</v>
      </c>
      <c r="T195">
        <v>5</v>
      </c>
      <c r="U195">
        <v>4058.08</v>
      </c>
      <c r="V195">
        <v>0.1</v>
      </c>
      <c r="W195">
        <v>0.1</v>
      </c>
      <c r="X195">
        <v>18261.36</v>
      </c>
      <c r="Y195">
        <f t="shared" si="24"/>
        <v>18261.36</v>
      </c>
      <c r="Z195">
        <v>11399.94</v>
      </c>
      <c r="AA195">
        <v>6861.42</v>
      </c>
      <c r="AB195">
        <f t="shared" ref="AB195:AB258" si="29">IF(ISTEXT(Y195), "Cannot Calculate", Y195 - Z195)</f>
        <v>6861.42</v>
      </c>
      <c r="AC195" s="8">
        <f t="shared" ref="AC195:AC258" si="30">IFERROR(AB195 / Y195, 0)</f>
        <v>0.3757343374206521</v>
      </c>
      <c r="AD195" t="s">
        <v>32</v>
      </c>
      <c r="AE195" t="s">
        <v>33</v>
      </c>
      <c r="AF195" t="str">
        <f t="shared" ref="AF195:AF258" si="31">IF(OR(ISTEXT(Z195), ISTEXT(AB195)), "Calculation Blocked", IF(OR(ROUND(X195, 2) &lt;&gt; ROUND(Y195, 2), ROUND(AA195, 2) &lt;&gt; ROUND(AB195, 2)), "Mismatch Found", "Perfect Match"))</f>
        <v>Perfect Match</v>
      </c>
    </row>
    <row r="196" spans="1:32">
      <c r="A196" t="str">
        <f>IF(OR(I196&lt;0, ISTEXT(W196), ISTEXT(Y196)), "Invalid", IF(OR(B196="Conflicting Duplicate", M196="Unknown", S196="Unknown"), "Warning", "Valid"))</f>
        <v>Valid</v>
      </c>
      <c r="B196" t="str">
        <f t="shared" si="25"/>
        <v>-</v>
      </c>
      <c r="C196" t="s">
        <v>1147</v>
      </c>
      <c r="D196" s="2">
        <v>45599</v>
      </c>
      <c r="E196" t="str">
        <f t="shared" si="26"/>
        <v>November</v>
      </c>
      <c r="F196">
        <f t="shared" si="27"/>
        <v>2024</v>
      </c>
      <c r="G196" s="2">
        <v>45599</v>
      </c>
      <c r="H196" t="s">
        <v>1148</v>
      </c>
      <c r="I196">
        <f t="shared" si="28"/>
        <v>0</v>
      </c>
      <c r="J196" t="s">
        <v>2795</v>
      </c>
      <c r="K196" t="s">
        <v>114</v>
      </c>
      <c r="L196" t="s">
        <v>24</v>
      </c>
      <c r="M196" t="s">
        <v>25</v>
      </c>
      <c r="N196" t="s">
        <v>122</v>
      </c>
      <c r="O196" t="s">
        <v>123</v>
      </c>
      <c r="P196" t="s">
        <v>41</v>
      </c>
      <c r="Q196" t="s">
        <v>158</v>
      </c>
      <c r="R196" t="s">
        <v>1149</v>
      </c>
      <c r="S196" t="s">
        <v>44</v>
      </c>
      <c r="T196">
        <v>9</v>
      </c>
      <c r="U196">
        <v>3456.38</v>
      </c>
      <c r="V196">
        <v>0</v>
      </c>
      <c r="W196">
        <v>0</v>
      </c>
      <c r="X196">
        <v>31107.42</v>
      </c>
      <c r="Y196">
        <f t="shared" si="24"/>
        <v>31107.42</v>
      </c>
      <c r="Z196">
        <v>20146.66</v>
      </c>
      <c r="AA196">
        <v>10960.76</v>
      </c>
      <c r="AB196">
        <f t="shared" si="29"/>
        <v>10960.759999999998</v>
      </c>
      <c r="AC196" s="8">
        <f t="shared" si="30"/>
        <v>0.35235194689884275</v>
      </c>
      <c r="AD196" t="s">
        <v>111</v>
      </c>
      <c r="AE196" t="s">
        <v>103</v>
      </c>
      <c r="AF196" t="str">
        <f t="shared" si="31"/>
        <v>Perfect Match</v>
      </c>
    </row>
    <row r="197" spans="1:32">
      <c r="A197" t="str">
        <f>IF(OR(I197&lt;0, ISTEXT(W197), ISTEXT(Y197)), "Invalid", IF(OR(B197="Conflicting Duplicate", M197="Unknown", S197="Unknown"), "Warning", "Valid"))</f>
        <v>Valid</v>
      </c>
      <c r="B197" t="str">
        <f t="shared" si="25"/>
        <v>-</v>
      </c>
      <c r="C197" t="s">
        <v>1150</v>
      </c>
      <c r="D197" s="2">
        <v>45549</v>
      </c>
      <c r="E197" t="str">
        <f t="shared" si="26"/>
        <v>September</v>
      </c>
      <c r="F197">
        <f t="shared" si="27"/>
        <v>2024</v>
      </c>
      <c r="G197" s="2">
        <v>45557</v>
      </c>
      <c r="H197" t="s">
        <v>1151</v>
      </c>
      <c r="I197">
        <f t="shared" si="28"/>
        <v>8</v>
      </c>
      <c r="J197" t="s">
        <v>2795</v>
      </c>
      <c r="K197" t="s">
        <v>23</v>
      </c>
      <c r="L197" t="s">
        <v>24</v>
      </c>
      <c r="M197" t="s">
        <v>63</v>
      </c>
      <c r="N197" t="s">
        <v>72</v>
      </c>
      <c r="O197" t="s">
        <v>73</v>
      </c>
      <c r="P197" t="s">
        <v>41</v>
      </c>
      <c r="Q197" t="s">
        <v>57</v>
      </c>
      <c r="R197" t="s">
        <v>1152</v>
      </c>
      <c r="S197" t="s">
        <v>31</v>
      </c>
      <c r="T197">
        <v>2</v>
      </c>
      <c r="U197">
        <v>2765.3</v>
      </c>
      <c r="V197">
        <v>0</v>
      </c>
      <c r="W197">
        <v>0</v>
      </c>
      <c r="X197">
        <v>5530.6</v>
      </c>
      <c r="Y197">
        <f t="shared" si="24"/>
        <v>5530.6</v>
      </c>
      <c r="Z197">
        <v>4453.1099999999997</v>
      </c>
      <c r="AA197">
        <v>1077.49</v>
      </c>
      <c r="AB197">
        <f t="shared" si="29"/>
        <v>1077.4900000000007</v>
      </c>
      <c r="AC197" s="8">
        <f t="shared" si="30"/>
        <v>0.19482334647235391</v>
      </c>
      <c r="AD197" t="s">
        <v>32</v>
      </c>
      <c r="AE197" t="s">
        <v>33</v>
      </c>
      <c r="AF197" t="str">
        <f t="shared" si="31"/>
        <v>Perfect Match</v>
      </c>
    </row>
    <row r="198" spans="1:32">
      <c r="A198" t="str">
        <f>IF(OR(I198&lt;0, ISTEXT(W198), ISTEXT(Y198)), "Invalid", IF(OR(B198="Conflicting Duplicate", M198="Unknown", S198="Unknown"), "Warning", "Valid"))</f>
        <v>Valid</v>
      </c>
      <c r="B198" t="str">
        <f t="shared" si="25"/>
        <v>-</v>
      </c>
      <c r="C198" t="s">
        <v>1156</v>
      </c>
      <c r="D198" s="2">
        <v>45303</v>
      </c>
      <c r="E198" t="str">
        <f t="shared" si="26"/>
        <v>January</v>
      </c>
      <c r="F198">
        <f t="shared" si="27"/>
        <v>2024</v>
      </c>
      <c r="G198" s="2">
        <v>45634</v>
      </c>
      <c r="H198" t="s">
        <v>1157</v>
      </c>
      <c r="I198">
        <f t="shared" si="28"/>
        <v>331</v>
      </c>
      <c r="J198" t="s">
        <v>2795</v>
      </c>
      <c r="K198" t="s">
        <v>128</v>
      </c>
      <c r="L198" t="s">
        <v>37</v>
      </c>
      <c r="M198" t="s">
        <v>63</v>
      </c>
      <c r="N198" t="s">
        <v>190</v>
      </c>
      <c r="O198" t="s">
        <v>191</v>
      </c>
      <c r="P198" t="s">
        <v>41</v>
      </c>
      <c r="Q198" t="s">
        <v>66</v>
      </c>
      <c r="R198" t="s">
        <v>1158</v>
      </c>
      <c r="S198" t="s">
        <v>31</v>
      </c>
      <c r="T198">
        <v>5</v>
      </c>
      <c r="U198">
        <v>2981.49</v>
      </c>
      <c r="V198">
        <v>0.2</v>
      </c>
      <c r="W198">
        <v>0.2</v>
      </c>
      <c r="X198">
        <v>11925.96</v>
      </c>
      <c r="Y198">
        <f t="shared" si="24"/>
        <v>11925.96</v>
      </c>
      <c r="Z198">
        <v>10103.51</v>
      </c>
      <c r="AA198">
        <v>1822.45</v>
      </c>
      <c r="AB198">
        <f t="shared" si="29"/>
        <v>1822.4499999999989</v>
      </c>
      <c r="AC198" s="8">
        <f t="shared" si="30"/>
        <v>0.15281369382422874</v>
      </c>
      <c r="AD198" t="s">
        <v>102</v>
      </c>
      <c r="AE198" t="s">
        <v>103</v>
      </c>
      <c r="AF198" t="str">
        <f t="shared" si="31"/>
        <v>Perfect Match</v>
      </c>
    </row>
    <row r="199" spans="1:32">
      <c r="A199" t="str">
        <f>IF(OR(I199&lt;0, ISTEXT(W199), ISTEXT(Y199)), "Invalid", IF(OR(B199="Conflicting Duplicate", M199="Unknown", S199="Unknown"), "Warning", "Valid"))</f>
        <v>Valid</v>
      </c>
      <c r="B199" t="str">
        <f t="shared" si="25"/>
        <v>-</v>
      </c>
      <c r="C199" t="s">
        <v>1159</v>
      </c>
      <c r="D199" s="2">
        <v>45445</v>
      </c>
      <c r="E199" t="str">
        <f t="shared" si="26"/>
        <v>June</v>
      </c>
      <c r="F199">
        <f t="shared" si="27"/>
        <v>2024</v>
      </c>
      <c r="G199" s="2">
        <v>45450</v>
      </c>
      <c r="H199" t="s">
        <v>1160</v>
      </c>
      <c r="I199">
        <f t="shared" si="28"/>
        <v>5</v>
      </c>
      <c r="J199" t="s">
        <v>2795</v>
      </c>
      <c r="K199" t="s">
        <v>128</v>
      </c>
      <c r="L199" t="s">
        <v>90</v>
      </c>
      <c r="M199" t="s">
        <v>54</v>
      </c>
      <c r="N199" t="s">
        <v>175</v>
      </c>
      <c r="O199" t="s">
        <v>176</v>
      </c>
      <c r="P199" t="s">
        <v>74</v>
      </c>
      <c r="Q199" t="s">
        <v>171</v>
      </c>
      <c r="R199" t="s">
        <v>1161</v>
      </c>
      <c r="S199" t="s">
        <v>44</v>
      </c>
      <c r="T199">
        <v>9</v>
      </c>
      <c r="U199">
        <v>2860.26</v>
      </c>
      <c r="V199">
        <v>0.25</v>
      </c>
      <c r="W199">
        <v>0.25</v>
      </c>
      <c r="X199">
        <v>19306.759999999998</v>
      </c>
      <c r="Y199">
        <f t="shared" si="24"/>
        <v>19306.759999999998</v>
      </c>
      <c r="Z199">
        <v>14442.38</v>
      </c>
      <c r="AA199">
        <v>4864.38</v>
      </c>
      <c r="AB199">
        <f t="shared" si="29"/>
        <v>4864.3799999999992</v>
      </c>
      <c r="AC199" s="8">
        <f t="shared" si="30"/>
        <v>0.25195216597709813</v>
      </c>
      <c r="AD199" t="s">
        <v>32</v>
      </c>
      <c r="AE199" t="s">
        <v>33</v>
      </c>
      <c r="AF199" t="str">
        <f t="shared" si="31"/>
        <v>Perfect Match</v>
      </c>
    </row>
    <row r="200" spans="1:32">
      <c r="A200" s="6" t="str">
        <f>IF(OR(I200&lt;0, ISTEXT(W200), ISTEXT(Y200)), "Invalid", IF(OR(B200="Conflicting Duplicate", M200="Unknown", S200="Unknown"), "Warning", "Valid"))</f>
        <v>Invalid</v>
      </c>
      <c r="B200" t="str">
        <f t="shared" si="25"/>
        <v>-</v>
      </c>
      <c r="C200" t="s">
        <v>1165</v>
      </c>
      <c r="D200" s="2">
        <v>45474</v>
      </c>
      <c r="E200" t="str">
        <f t="shared" si="26"/>
        <v>July</v>
      </c>
      <c r="F200">
        <f t="shared" si="27"/>
        <v>2024</v>
      </c>
      <c r="G200" s="2">
        <v>45305</v>
      </c>
      <c r="H200" t="s">
        <v>1166</v>
      </c>
      <c r="I200" s="7">
        <f t="shared" si="28"/>
        <v>-169</v>
      </c>
      <c r="J200" s="7" t="s">
        <v>2802</v>
      </c>
      <c r="K200" t="s">
        <v>132</v>
      </c>
      <c r="L200" t="s">
        <v>37</v>
      </c>
      <c r="M200" t="s">
        <v>38</v>
      </c>
      <c r="N200" t="s">
        <v>228</v>
      </c>
      <c r="O200" t="s">
        <v>229</v>
      </c>
      <c r="P200" t="s">
        <v>41</v>
      </c>
      <c r="Q200" t="s">
        <v>57</v>
      </c>
      <c r="R200" t="s">
        <v>1167</v>
      </c>
      <c r="S200" t="s">
        <v>31</v>
      </c>
      <c r="T200">
        <v>4</v>
      </c>
      <c r="U200">
        <v>3309.54</v>
      </c>
      <c r="V200">
        <v>0.1</v>
      </c>
      <c r="W200">
        <v>0.1</v>
      </c>
      <c r="X200">
        <v>11914.34</v>
      </c>
      <c r="Y200">
        <f t="shared" si="24"/>
        <v>11914.34</v>
      </c>
      <c r="Z200">
        <v>9771.24</v>
      </c>
      <c r="AA200">
        <v>2143.1</v>
      </c>
      <c r="AB200">
        <f t="shared" si="29"/>
        <v>2143.1000000000004</v>
      </c>
      <c r="AC200" s="8">
        <f t="shared" si="30"/>
        <v>0.17987567922352396</v>
      </c>
      <c r="AD200" t="s">
        <v>102</v>
      </c>
      <c r="AE200" t="s">
        <v>103</v>
      </c>
      <c r="AF200" t="str">
        <f t="shared" si="31"/>
        <v>Perfect Match</v>
      </c>
    </row>
    <row r="201" spans="1:32">
      <c r="A201" s="6" t="str">
        <f>IF(OR(I201&lt;0, ISTEXT(W201), ISTEXT(Y201)), "Invalid", IF(OR(B201="Conflicting Duplicate", M201="Unknown", S201="Unknown"), "Warning", "Valid"))</f>
        <v>Invalid</v>
      </c>
      <c r="B201" t="str">
        <f t="shared" si="25"/>
        <v>-</v>
      </c>
      <c r="C201" t="s">
        <v>1177</v>
      </c>
      <c r="D201" s="2">
        <v>45653</v>
      </c>
      <c r="E201" t="str">
        <f t="shared" si="26"/>
        <v>December</v>
      </c>
      <c r="F201">
        <f t="shared" si="27"/>
        <v>2024</v>
      </c>
      <c r="G201" s="2">
        <v>45657</v>
      </c>
      <c r="H201" t="s">
        <v>1178</v>
      </c>
      <c r="I201">
        <f t="shared" si="28"/>
        <v>4</v>
      </c>
      <c r="J201" t="s">
        <v>2795</v>
      </c>
      <c r="K201" t="s">
        <v>264</v>
      </c>
      <c r="L201" t="s">
        <v>1179</v>
      </c>
      <c r="M201" t="s">
        <v>25</v>
      </c>
      <c r="N201" t="s">
        <v>122</v>
      </c>
      <c r="O201" t="s">
        <v>123</v>
      </c>
      <c r="P201" t="s">
        <v>41</v>
      </c>
      <c r="Q201" t="s">
        <v>57</v>
      </c>
      <c r="R201" t="s">
        <v>1180</v>
      </c>
      <c r="S201" t="s">
        <v>59</v>
      </c>
      <c r="T201">
        <v>6</v>
      </c>
      <c r="U201">
        <v>3346.78</v>
      </c>
      <c r="V201">
        <v>-0.06</v>
      </c>
      <c r="W201" s="4" t="s">
        <v>2794</v>
      </c>
      <c r="X201">
        <v>20080.68</v>
      </c>
      <c r="Y201" s="4" t="str">
        <f t="shared" si="24"/>
        <v>Cannot Calculate</v>
      </c>
      <c r="Z201">
        <v>12908.84</v>
      </c>
      <c r="AA201">
        <v>7171.84</v>
      </c>
      <c r="AB201" s="4" t="str">
        <f t="shared" si="29"/>
        <v>Cannot Calculate</v>
      </c>
      <c r="AC201" s="9">
        <f t="shared" si="30"/>
        <v>0</v>
      </c>
      <c r="AD201" t="s">
        <v>111</v>
      </c>
      <c r="AE201" t="s">
        <v>68</v>
      </c>
      <c r="AF201" t="str">
        <f t="shared" si="31"/>
        <v>Calculation Blocked</v>
      </c>
    </row>
    <row r="202" spans="1:32">
      <c r="A202" s="6" t="str">
        <f>IF(OR(I202&lt;0, ISTEXT(W202), ISTEXT(Y202)), "Invalid", IF(OR(B202="Conflicting Duplicate", M202="Unknown", S202="Unknown"), "Warning", "Valid"))</f>
        <v>Invalid</v>
      </c>
      <c r="B202" t="str">
        <f t="shared" si="25"/>
        <v>-</v>
      </c>
      <c r="C202" t="s">
        <v>1181</v>
      </c>
      <c r="D202" s="2">
        <v>45631</v>
      </c>
      <c r="E202" t="str">
        <f t="shared" si="26"/>
        <v>December</v>
      </c>
      <c r="F202">
        <f t="shared" si="27"/>
        <v>2024</v>
      </c>
      <c r="G202" s="2">
        <v>45421</v>
      </c>
      <c r="H202" t="s">
        <v>1182</v>
      </c>
      <c r="I202" s="7">
        <f t="shared" si="28"/>
        <v>-210</v>
      </c>
      <c r="J202" s="7" t="s">
        <v>2802</v>
      </c>
      <c r="K202" t="s">
        <v>114</v>
      </c>
      <c r="L202" t="s">
        <v>90</v>
      </c>
      <c r="M202" t="s">
        <v>63</v>
      </c>
      <c r="N202" t="s">
        <v>26</v>
      </c>
      <c r="O202" t="s">
        <v>109</v>
      </c>
      <c r="P202" t="s">
        <v>41</v>
      </c>
      <c r="Q202" t="s">
        <v>42</v>
      </c>
      <c r="R202" t="s">
        <v>1183</v>
      </c>
      <c r="S202" t="s">
        <v>59</v>
      </c>
      <c r="T202">
        <v>5</v>
      </c>
      <c r="U202">
        <v>3203.48</v>
      </c>
      <c r="V202">
        <v>0</v>
      </c>
      <c r="W202">
        <v>0</v>
      </c>
      <c r="X202">
        <v>16017.4</v>
      </c>
      <c r="Y202">
        <f t="shared" si="24"/>
        <v>16017.4</v>
      </c>
      <c r="Z202">
        <v>9557.7999999999993</v>
      </c>
      <c r="AA202">
        <v>6459.6</v>
      </c>
      <c r="AB202">
        <f t="shared" si="29"/>
        <v>6459.6</v>
      </c>
      <c r="AC202" s="8">
        <f t="shared" si="30"/>
        <v>0.40328642601171227</v>
      </c>
      <c r="AD202" t="s">
        <v>111</v>
      </c>
      <c r="AE202" t="s">
        <v>68</v>
      </c>
      <c r="AF202" t="str">
        <f t="shared" si="31"/>
        <v>Perfect Match</v>
      </c>
    </row>
    <row r="203" spans="1:32">
      <c r="A203" t="str">
        <f>IF(OR(I203&lt;0, ISTEXT(W203), ISTEXT(Y203)), "Invalid", IF(OR(B203="Conflicting Duplicate", M203="Unknown", S203="Unknown"), "Warning", "Valid"))</f>
        <v>Valid</v>
      </c>
      <c r="B203" t="str">
        <f t="shared" si="25"/>
        <v>-</v>
      </c>
      <c r="C203" t="s">
        <v>1193</v>
      </c>
      <c r="D203" s="2">
        <v>45525</v>
      </c>
      <c r="E203" t="str">
        <f t="shared" si="26"/>
        <v>August</v>
      </c>
      <c r="F203">
        <f t="shared" si="27"/>
        <v>2024</v>
      </c>
      <c r="G203" s="2">
        <v>45526</v>
      </c>
      <c r="H203" t="s">
        <v>1194</v>
      </c>
      <c r="I203">
        <f t="shared" si="28"/>
        <v>1</v>
      </c>
      <c r="J203" t="s">
        <v>2795</v>
      </c>
      <c r="K203" t="s">
        <v>47</v>
      </c>
      <c r="L203" t="s">
        <v>24</v>
      </c>
      <c r="M203" t="s">
        <v>54</v>
      </c>
      <c r="N203" t="s">
        <v>247</v>
      </c>
      <c r="O203" t="s">
        <v>248</v>
      </c>
      <c r="P203" t="s">
        <v>74</v>
      </c>
      <c r="Q203" t="s">
        <v>171</v>
      </c>
      <c r="R203" t="s">
        <v>1195</v>
      </c>
      <c r="S203" t="s">
        <v>44</v>
      </c>
      <c r="T203">
        <v>9</v>
      </c>
      <c r="U203">
        <v>616.96</v>
      </c>
      <c r="V203">
        <v>0.1</v>
      </c>
      <c r="W203">
        <v>0.1</v>
      </c>
      <c r="X203">
        <v>4997.38</v>
      </c>
      <c r="Y203">
        <f t="shared" si="24"/>
        <v>4997.38</v>
      </c>
      <c r="Z203">
        <v>2971.39</v>
      </c>
      <c r="AA203">
        <v>2025.99</v>
      </c>
      <c r="AB203">
        <f t="shared" si="29"/>
        <v>2025.9900000000002</v>
      </c>
      <c r="AC203" s="8">
        <f t="shared" si="30"/>
        <v>0.40541043506797564</v>
      </c>
      <c r="AD203" t="s">
        <v>32</v>
      </c>
      <c r="AE203" t="s">
        <v>33</v>
      </c>
      <c r="AF203" t="str">
        <f t="shared" si="31"/>
        <v>Perfect Match</v>
      </c>
    </row>
    <row r="204" spans="1:32">
      <c r="A204" t="str">
        <f>IF(OR(I204&lt;0, ISTEXT(W204), ISTEXT(Y204)), "Invalid", IF(OR(B204="Conflicting Duplicate", M204="Unknown", S204="Unknown"), "Warning", "Valid"))</f>
        <v>Valid</v>
      </c>
      <c r="B204" t="str">
        <f t="shared" si="25"/>
        <v>-</v>
      </c>
      <c r="C204" t="s">
        <v>1196</v>
      </c>
      <c r="D204" s="2">
        <v>45460</v>
      </c>
      <c r="E204" t="str">
        <f t="shared" si="26"/>
        <v>June</v>
      </c>
      <c r="F204">
        <f t="shared" si="27"/>
        <v>2024</v>
      </c>
      <c r="G204" s="2">
        <v>45463</v>
      </c>
      <c r="H204" t="s">
        <v>1197</v>
      </c>
      <c r="I204">
        <f t="shared" si="28"/>
        <v>3</v>
      </c>
      <c r="J204" t="s">
        <v>2795</v>
      </c>
      <c r="K204" t="s">
        <v>132</v>
      </c>
      <c r="L204" t="s">
        <v>37</v>
      </c>
      <c r="M204" t="s">
        <v>63</v>
      </c>
      <c r="N204" t="s">
        <v>180</v>
      </c>
      <c r="O204" t="s">
        <v>181</v>
      </c>
      <c r="P204" t="s">
        <v>41</v>
      </c>
      <c r="Q204" t="s">
        <v>57</v>
      </c>
      <c r="R204" t="s">
        <v>1198</v>
      </c>
      <c r="S204" t="s">
        <v>59</v>
      </c>
      <c r="T204">
        <v>7</v>
      </c>
      <c r="U204">
        <v>3155.25</v>
      </c>
      <c r="V204">
        <v>0.2</v>
      </c>
      <c r="W204">
        <v>0.2</v>
      </c>
      <c r="X204">
        <v>17669.400000000001</v>
      </c>
      <c r="Y204">
        <f t="shared" si="24"/>
        <v>17669.400000000001</v>
      </c>
      <c r="Z204">
        <v>13718.77</v>
      </c>
      <c r="AA204">
        <v>3950.63</v>
      </c>
      <c r="AB204">
        <f t="shared" si="29"/>
        <v>3950.630000000001</v>
      </c>
      <c r="AC204" s="8">
        <f t="shared" si="30"/>
        <v>0.2235859734908939</v>
      </c>
      <c r="AD204" t="s">
        <v>102</v>
      </c>
      <c r="AE204" t="s">
        <v>68</v>
      </c>
      <c r="AF204" t="str">
        <f t="shared" si="31"/>
        <v>Perfect Match</v>
      </c>
    </row>
    <row r="205" spans="1:32">
      <c r="A205" t="str">
        <f>IF(OR(I205&lt;0, ISTEXT(W205), ISTEXT(Y205)), "Invalid", IF(OR(B205="Conflicting Duplicate", M205="Unknown", S205="Unknown"), "Warning", "Valid"))</f>
        <v>Valid</v>
      </c>
      <c r="B205" t="str">
        <f t="shared" si="25"/>
        <v>-</v>
      </c>
      <c r="C205" t="s">
        <v>1202</v>
      </c>
      <c r="D205" s="2">
        <v>45527</v>
      </c>
      <c r="E205" t="str">
        <f t="shared" si="26"/>
        <v>August</v>
      </c>
      <c r="F205">
        <f t="shared" si="27"/>
        <v>2024</v>
      </c>
      <c r="G205" s="2">
        <v>45529</v>
      </c>
      <c r="H205" t="s">
        <v>1203</v>
      </c>
      <c r="I205">
        <f t="shared" si="28"/>
        <v>2</v>
      </c>
      <c r="J205" t="s">
        <v>2795</v>
      </c>
      <c r="K205" t="s">
        <v>71</v>
      </c>
      <c r="L205" t="s">
        <v>24</v>
      </c>
      <c r="M205" t="s">
        <v>63</v>
      </c>
      <c r="N205" t="s">
        <v>190</v>
      </c>
      <c r="O205" t="s">
        <v>191</v>
      </c>
      <c r="P205" t="s">
        <v>74</v>
      </c>
      <c r="Q205" t="s">
        <v>274</v>
      </c>
      <c r="R205" t="s">
        <v>1204</v>
      </c>
      <c r="S205" t="s">
        <v>44</v>
      </c>
      <c r="T205">
        <v>4</v>
      </c>
      <c r="U205">
        <v>491.16</v>
      </c>
      <c r="V205">
        <v>0.05</v>
      </c>
      <c r="W205">
        <v>0.05</v>
      </c>
      <c r="X205">
        <v>1866.41</v>
      </c>
      <c r="Y205">
        <f t="shared" si="24"/>
        <v>1866.41</v>
      </c>
      <c r="Z205">
        <v>1576.49</v>
      </c>
      <c r="AA205">
        <v>289.92</v>
      </c>
      <c r="AB205">
        <f t="shared" si="29"/>
        <v>289.92000000000007</v>
      </c>
      <c r="AC205" s="8">
        <f t="shared" si="30"/>
        <v>0.15533564436538599</v>
      </c>
      <c r="AD205" t="s">
        <v>32</v>
      </c>
      <c r="AE205" t="s">
        <v>33</v>
      </c>
      <c r="AF205" t="str">
        <f t="shared" si="31"/>
        <v>Perfect Match</v>
      </c>
    </row>
    <row r="206" spans="1:32">
      <c r="A206" t="str">
        <f>IF(OR(I206&lt;0, ISTEXT(W206), ISTEXT(Y206)), "Invalid", IF(OR(B206="Conflicting Duplicate", M206="Unknown", S206="Unknown"), "Warning", "Valid"))</f>
        <v>Valid</v>
      </c>
      <c r="B206" t="str">
        <f t="shared" si="25"/>
        <v>-</v>
      </c>
      <c r="C206" t="s">
        <v>1211</v>
      </c>
      <c r="D206" s="2">
        <v>45458</v>
      </c>
      <c r="E206" t="str">
        <f t="shared" si="26"/>
        <v>June</v>
      </c>
      <c r="F206">
        <f t="shared" si="27"/>
        <v>2024</v>
      </c>
      <c r="G206" s="2">
        <v>45464</v>
      </c>
      <c r="H206" t="s">
        <v>1212</v>
      </c>
      <c r="I206">
        <f t="shared" si="28"/>
        <v>6</v>
      </c>
      <c r="J206" t="s">
        <v>2795</v>
      </c>
      <c r="K206" t="s">
        <v>89</v>
      </c>
      <c r="L206" t="s">
        <v>90</v>
      </c>
      <c r="M206" t="s">
        <v>63</v>
      </c>
      <c r="N206" t="s">
        <v>190</v>
      </c>
      <c r="O206" t="s">
        <v>191</v>
      </c>
      <c r="P206" t="s">
        <v>74</v>
      </c>
      <c r="Q206" t="s">
        <v>75</v>
      </c>
      <c r="R206" t="s">
        <v>1213</v>
      </c>
      <c r="S206" t="s">
        <v>50</v>
      </c>
      <c r="T206">
        <v>8</v>
      </c>
      <c r="U206">
        <v>1706.4</v>
      </c>
      <c r="V206">
        <f>IF(ROUND(T188*U188, 2)=ROUND(X188, 2), 0, "Flag - Missing Value")</f>
        <v>0</v>
      </c>
      <c r="W206">
        <v>0</v>
      </c>
      <c r="X206">
        <v>12968.64</v>
      </c>
      <c r="Y206">
        <f t="shared" si="24"/>
        <v>13651.2</v>
      </c>
      <c r="Z206">
        <v>10119.61</v>
      </c>
      <c r="AA206">
        <v>2849.03</v>
      </c>
      <c r="AB206">
        <f t="shared" si="29"/>
        <v>3531.59</v>
      </c>
      <c r="AC206" s="8">
        <f t="shared" si="30"/>
        <v>0.2587017991092358</v>
      </c>
      <c r="AD206" t="s">
        <v>32</v>
      </c>
      <c r="AE206" t="s">
        <v>33</v>
      </c>
      <c r="AF206" t="str">
        <f t="shared" si="31"/>
        <v>Mismatch Found</v>
      </c>
    </row>
    <row r="207" spans="1:32">
      <c r="A207" t="str">
        <f>IF(OR(I207&lt;0, ISTEXT(W207), ISTEXT(Y207)), "Invalid", IF(OR(B207="Conflicting Duplicate", M207="Unknown", S207="Unknown"), "Warning", "Valid"))</f>
        <v>Valid</v>
      </c>
      <c r="B207" t="str">
        <f t="shared" si="25"/>
        <v>-</v>
      </c>
      <c r="C207" t="s">
        <v>1217</v>
      </c>
      <c r="D207" s="2">
        <v>45366</v>
      </c>
      <c r="E207" t="str">
        <f t="shared" si="26"/>
        <v>March</v>
      </c>
      <c r="F207">
        <f t="shared" si="27"/>
        <v>2024</v>
      </c>
      <c r="G207" s="2">
        <v>45367</v>
      </c>
      <c r="H207" t="s">
        <v>1218</v>
      </c>
      <c r="I207">
        <f t="shared" si="28"/>
        <v>1</v>
      </c>
      <c r="J207" t="s">
        <v>2795</v>
      </c>
      <c r="K207" t="s">
        <v>141</v>
      </c>
      <c r="L207" t="s">
        <v>24</v>
      </c>
      <c r="M207" t="s">
        <v>25</v>
      </c>
      <c r="N207" t="s">
        <v>350</v>
      </c>
      <c r="O207" t="s">
        <v>351</v>
      </c>
      <c r="P207" t="s">
        <v>28</v>
      </c>
      <c r="Q207" t="s">
        <v>48</v>
      </c>
      <c r="R207" t="s">
        <v>1219</v>
      </c>
      <c r="S207" t="s">
        <v>59</v>
      </c>
      <c r="T207">
        <v>6</v>
      </c>
      <c r="U207">
        <v>3815.09</v>
      </c>
      <c r="V207">
        <v>0.15</v>
      </c>
      <c r="W207">
        <v>0.15</v>
      </c>
      <c r="X207">
        <v>19456.96</v>
      </c>
      <c r="Y207">
        <f t="shared" si="24"/>
        <v>19456.96</v>
      </c>
      <c r="Z207">
        <v>14520.06</v>
      </c>
      <c r="AA207">
        <v>4936.8999999999996</v>
      </c>
      <c r="AB207">
        <f t="shared" si="29"/>
        <v>4936.8999999999996</v>
      </c>
      <c r="AC207" s="8">
        <f t="shared" si="30"/>
        <v>0.25373439632912848</v>
      </c>
      <c r="AD207" t="s">
        <v>155</v>
      </c>
      <c r="AE207" t="s">
        <v>68</v>
      </c>
      <c r="AF207" t="str">
        <f t="shared" si="31"/>
        <v>Perfect Match</v>
      </c>
    </row>
    <row r="208" spans="1:32">
      <c r="A208" t="str">
        <f>IF(OR(I208&lt;0, ISTEXT(W208), ISTEXT(Y208)), "Invalid", IF(OR(B208="Conflicting Duplicate", M208="Unknown", S208="Unknown"), "Warning", "Valid"))</f>
        <v>Valid</v>
      </c>
      <c r="B208" t="str">
        <f t="shared" si="25"/>
        <v>-</v>
      </c>
      <c r="C208" t="s">
        <v>1226</v>
      </c>
      <c r="D208" s="2">
        <v>45519</v>
      </c>
      <c r="E208" t="str">
        <f t="shared" si="26"/>
        <v>August</v>
      </c>
      <c r="F208">
        <f t="shared" si="27"/>
        <v>2024</v>
      </c>
      <c r="G208" s="2">
        <v>45525</v>
      </c>
      <c r="H208" t="s">
        <v>1227</v>
      </c>
      <c r="I208">
        <f t="shared" si="28"/>
        <v>6</v>
      </c>
      <c r="J208" t="s">
        <v>2795</v>
      </c>
      <c r="K208" t="s">
        <v>62</v>
      </c>
      <c r="L208" t="s">
        <v>37</v>
      </c>
      <c r="M208" t="s">
        <v>63</v>
      </c>
      <c r="N208" t="s">
        <v>26</v>
      </c>
      <c r="O208" t="s">
        <v>109</v>
      </c>
      <c r="P208" t="s">
        <v>74</v>
      </c>
      <c r="Q208" t="s">
        <v>80</v>
      </c>
      <c r="R208" t="s">
        <v>1228</v>
      </c>
      <c r="S208" t="s">
        <v>50</v>
      </c>
      <c r="T208">
        <v>7</v>
      </c>
      <c r="U208">
        <v>2333.81</v>
      </c>
      <c r="V208">
        <v>0.2</v>
      </c>
      <c r="W208">
        <v>0.2</v>
      </c>
      <c r="X208">
        <v>13069.34</v>
      </c>
      <c r="Y208">
        <f t="shared" si="24"/>
        <v>13069.34</v>
      </c>
      <c r="Z208">
        <v>8768.59</v>
      </c>
      <c r="AA208">
        <v>4300.75</v>
      </c>
      <c r="AB208">
        <f t="shared" si="29"/>
        <v>4300.75</v>
      </c>
      <c r="AC208" s="8">
        <f t="shared" si="30"/>
        <v>0.32907170522765494</v>
      </c>
      <c r="AD208" t="s">
        <v>32</v>
      </c>
      <c r="AE208" t="s">
        <v>33</v>
      </c>
      <c r="AF208" t="str">
        <f t="shared" si="31"/>
        <v>Perfect Match</v>
      </c>
    </row>
    <row r="209" spans="1:32">
      <c r="A209" s="6" t="str">
        <f>IF(OR(I209&lt;0, ISTEXT(W209), ISTEXT(Y209)), "Invalid", IF(OR(B209="Conflicting Duplicate", M209="Unknown", S209="Unknown"), "Warning", "Valid"))</f>
        <v>Invalid</v>
      </c>
      <c r="B209" t="str">
        <f t="shared" si="25"/>
        <v>-</v>
      </c>
      <c r="C209" t="s">
        <v>1229</v>
      </c>
      <c r="D209" s="2">
        <v>45313</v>
      </c>
      <c r="E209" t="str">
        <f t="shared" si="26"/>
        <v>January</v>
      </c>
      <c r="F209">
        <f t="shared" si="27"/>
        <v>2024</v>
      </c>
      <c r="G209" s="2">
        <v>45315</v>
      </c>
      <c r="H209" t="s">
        <v>1230</v>
      </c>
      <c r="I209">
        <f t="shared" si="28"/>
        <v>2</v>
      </c>
      <c r="J209" t="s">
        <v>2795</v>
      </c>
      <c r="K209" t="s">
        <v>162</v>
      </c>
      <c r="L209" t="s">
        <v>95</v>
      </c>
      <c r="M209" t="s">
        <v>63</v>
      </c>
      <c r="N209" t="s">
        <v>64</v>
      </c>
      <c r="O209" t="s">
        <v>65</v>
      </c>
      <c r="P209" t="s">
        <v>28</v>
      </c>
      <c r="Q209" t="s">
        <v>48</v>
      </c>
      <c r="R209" t="s">
        <v>1231</v>
      </c>
      <c r="S209" t="s">
        <v>59</v>
      </c>
      <c r="T209">
        <v>6</v>
      </c>
      <c r="U209">
        <v>1026.06</v>
      </c>
      <c r="V209" s="4" t="str">
        <f>IF(ROUND(T191*U191, 2)=ROUND(X191, 2), 0, "Flag - Missing Value")</f>
        <v>Flag - Missing Value</v>
      </c>
      <c r="W209" s="4" t="s">
        <v>2794</v>
      </c>
      <c r="X209">
        <v>4617.2700000000004</v>
      </c>
      <c r="Y209" s="4" t="str">
        <f t="shared" si="24"/>
        <v>Cannot Calculate</v>
      </c>
      <c r="Z209">
        <v>2981.94</v>
      </c>
      <c r="AA209">
        <v>1635.33</v>
      </c>
      <c r="AB209" s="4" t="str">
        <f t="shared" si="29"/>
        <v>Cannot Calculate</v>
      </c>
      <c r="AC209" s="9">
        <f t="shared" si="30"/>
        <v>0</v>
      </c>
      <c r="AD209" t="s">
        <v>102</v>
      </c>
      <c r="AE209" t="s">
        <v>68</v>
      </c>
      <c r="AF209" t="str">
        <f t="shared" si="31"/>
        <v>Calculation Blocked</v>
      </c>
    </row>
    <row r="210" spans="1:32">
      <c r="A210" t="str">
        <f>IF(OR(I210&lt;0, ISTEXT(W210), ISTEXT(Y210)), "Invalid", IF(OR(B210="Conflicting Duplicate", M210="Unknown", S210="Unknown"), "Warning", "Valid"))</f>
        <v>Valid</v>
      </c>
      <c r="B210" t="str">
        <f t="shared" si="25"/>
        <v>-</v>
      </c>
      <c r="C210" t="s">
        <v>1240</v>
      </c>
      <c r="D210" s="2">
        <v>45657</v>
      </c>
      <c r="E210" t="str">
        <f t="shared" si="26"/>
        <v>December</v>
      </c>
      <c r="F210">
        <f t="shared" si="27"/>
        <v>2024</v>
      </c>
      <c r="G210" s="2">
        <v>45661</v>
      </c>
      <c r="H210" t="s">
        <v>1241</v>
      </c>
      <c r="I210">
        <f t="shared" si="28"/>
        <v>4</v>
      </c>
      <c r="J210" t="s">
        <v>2795</v>
      </c>
      <c r="K210" t="s">
        <v>71</v>
      </c>
      <c r="L210" t="s">
        <v>24</v>
      </c>
      <c r="M210" t="s">
        <v>25</v>
      </c>
      <c r="N210" t="s">
        <v>350</v>
      </c>
      <c r="O210" t="s">
        <v>351</v>
      </c>
      <c r="P210" t="s">
        <v>41</v>
      </c>
      <c r="Q210" t="s">
        <v>66</v>
      </c>
      <c r="R210" t="s">
        <v>1242</v>
      </c>
      <c r="S210" t="s">
        <v>44</v>
      </c>
      <c r="T210">
        <v>3</v>
      </c>
      <c r="U210">
        <v>1166.6099999999999</v>
      </c>
      <c r="V210">
        <v>0.25</v>
      </c>
      <c r="W210">
        <v>0.25</v>
      </c>
      <c r="X210">
        <v>2624.87</v>
      </c>
      <c r="Y210">
        <f t="shared" si="24"/>
        <v>2624.87</v>
      </c>
      <c r="Z210">
        <v>2253.88</v>
      </c>
      <c r="AA210">
        <v>370.99</v>
      </c>
      <c r="AB210">
        <f t="shared" si="29"/>
        <v>370.98999999999978</v>
      </c>
      <c r="AC210" s="8">
        <f t="shared" si="30"/>
        <v>0.14133652333258401</v>
      </c>
      <c r="AD210" t="s">
        <v>32</v>
      </c>
      <c r="AE210" t="s">
        <v>33</v>
      </c>
      <c r="AF210" t="str">
        <f t="shared" si="31"/>
        <v>Perfect Match</v>
      </c>
    </row>
    <row r="211" spans="1:32">
      <c r="A211" t="str">
        <f>IF(OR(I211&lt;0, ISTEXT(W211), ISTEXT(Y211)), "Invalid", IF(OR(B211="Conflicting Duplicate", M211="Unknown", S211="Unknown"), "Warning", "Valid"))</f>
        <v>Valid</v>
      </c>
      <c r="B211" t="str">
        <f t="shared" si="25"/>
        <v>-</v>
      </c>
      <c r="C211" t="s">
        <v>1243</v>
      </c>
      <c r="D211" s="2">
        <v>45655</v>
      </c>
      <c r="E211" t="str">
        <f t="shared" si="26"/>
        <v>December</v>
      </c>
      <c r="F211">
        <f t="shared" si="27"/>
        <v>2024</v>
      </c>
      <c r="G211" s="2">
        <v>45657</v>
      </c>
      <c r="H211" t="s">
        <v>1244</v>
      </c>
      <c r="I211">
        <f t="shared" si="28"/>
        <v>2</v>
      </c>
      <c r="J211" t="s">
        <v>2795</v>
      </c>
      <c r="K211" t="s">
        <v>47</v>
      </c>
      <c r="L211" t="s">
        <v>37</v>
      </c>
      <c r="M211" t="s">
        <v>38</v>
      </c>
      <c r="N211" t="s">
        <v>145</v>
      </c>
      <c r="O211" t="s">
        <v>146</v>
      </c>
      <c r="P211" t="s">
        <v>41</v>
      </c>
      <c r="Q211" t="s">
        <v>66</v>
      </c>
      <c r="R211" t="s">
        <v>1245</v>
      </c>
      <c r="S211" t="s">
        <v>50</v>
      </c>
      <c r="T211">
        <v>6</v>
      </c>
      <c r="U211">
        <v>1844.78</v>
      </c>
      <c r="V211">
        <v>0.2</v>
      </c>
      <c r="W211">
        <v>0.2</v>
      </c>
      <c r="X211">
        <v>8854.94</v>
      </c>
      <c r="Y211">
        <f t="shared" si="24"/>
        <v>8854.94</v>
      </c>
      <c r="Z211">
        <v>7433.95</v>
      </c>
      <c r="AA211">
        <v>1420.99</v>
      </c>
      <c r="AB211">
        <f t="shared" si="29"/>
        <v>1420.9900000000007</v>
      </c>
      <c r="AC211" s="8">
        <f t="shared" si="30"/>
        <v>0.16047426634172571</v>
      </c>
      <c r="AD211" t="s">
        <v>32</v>
      </c>
      <c r="AE211" t="s">
        <v>33</v>
      </c>
      <c r="AF211" t="str">
        <f t="shared" si="31"/>
        <v>Perfect Match</v>
      </c>
    </row>
    <row r="212" spans="1:32">
      <c r="A212" s="6" t="str">
        <f>IF(OR(I212&lt;0, ISTEXT(W212), ISTEXT(Y212)), "Invalid", IF(OR(B212="Conflicting Duplicate", M212="Unknown", S212="Unknown"), "Warning", "Valid"))</f>
        <v>Invalid</v>
      </c>
      <c r="B212" t="str">
        <f t="shared" si="25"/>
        <v>-</v>
      </c>
      <c r="C212" t="s">
        <v>1253</v>
      </c>
      <c r="D212" s="2">
        <v>45554</v>
      </c>
      <c r="E212" t="str">
        <f t="shared" si="26"/>
        <v>September</v>
      </c>
      <c r="F212">
        <f t="shared" si="27"/>
        <v>2024</v>
      </c>
      <c r="G212" s="2">
        <v>45558</v>
      </c>
      <c r="H212" t="s">
        <v>1254</v>
      </c>
      <c r="I212">
        <f t="shared" si="28"/>
        <v>4</v>
      </c>
      <c r="J212" t="s">
        <v>2795</v>
      </c>
      <c r="K212" t="s">
        <v>36</v>
      </c>
      <c r="L212" t="s">
        <v>37</v>
      </c>
      <c r="M212" t="s">
        <v>54</v>
      </c>
      <c r="N212" t="s">
        <v>185</v>
      </c>
      <c r="O212" t="s">
        <v>186</v>
      </c>
      <c r="P212" t="s">
        <v>28</v>
      </c>
      <c r="Q212" t="s">
        <v>29</v>
      </c>
      <c r="R212" t="s">
        <v>1255</v>
      </c>
      <c r="S212" t="s">
        <v>59</v>
      </c>
      <c r="T212">
        <v>7</v>
      </c>
      <c r="U212">
        <v>1136.68</v>
      </c>
      <c r="V212" s="4" t="str">
        <f>IF(ROUND(T194*U194, 2)=ROUND(X194, 2), 0, "Flag - Missing Value")</f>
        <v>Flag - Missing Value</v>
      </c>
      <c r="W212" s="4" t="s">
        <v>2794</v>
      </c>
      <c r="X212">
        <v>7956.76</v>
      </c>
      <c r="Y212" s="4" t="str">
        <f t="shared" si="24"/>
        <v>Cannot Calculate</v>
      </c>
      <c r="Z212">
        <v>4799.54</v>
      </c>
      <c r="AA212">
        <v>3157.22</v>
      </c>
      <c r="AB212" s="4" t="str">
        <f t="shared" si="29"/>
        <v>Cannot Calculate</v>
      </c>
      <c r="AC212" s="9">
        <f t="shared" si="30"/>
        <v>0</v>
      </c>
      <c r="AD212" t="s">
        <v>32</v>
      </c>
      <c r="AE212" t="s">
        <v>33</v>
      </c>
      <c r="AF212" t="str">
        <f t="shared" si="31"/>
        <v>Calculation Blocked</v>
      </c>
    </row>
    <row r="213" spans="1:32">
      <c r="A213" t="str">
        <f>IF(OR(I213&lt;0, ISTEXT(W213), ISTEXT(Y213)), "Invalid", IF(OR(B213="Conflicting Duplicate", M213="Unknown", S213="Unknown"), "Warning", "Valid"))</f>
        <v>Valid</v>
      </c>
      <c r="B213" t="str">
        <f t="shared" si="25"/>
        <v>-</v>
      </c>
      <c r="C213" t="s">
        <v>1256</v>
      </c>
      <c r="D213" s="2">
        <v>45389</v>
      </c>
      <c r="E213" t="str">
        <f t="shared" si="26"/>
        <v>April</v>
      </c>
      <c r="F213">
        <f t="shared" si="27"/>
        <v>2024</v>
      </c>
      <c r="G213" s="2">
        <v>45396</v>
      </c>
      <c r="H213" t="s">
        <v>1257</v>
      </c>
      <c r="I213">
        <f t="shared" si="28"/>
        <v>7</v>
      </c>
      <c r="J213" t="s">
        <v>2795</v>
      </c>
      <c r="K213" t="s">
        <v>71</v>
      </c>
      <c r="L213" t="s">
        <v>24</v>
      </c>
      <c r="M213" t="s">
        <v>63</v>
      </c>
      <c r="N213" t="s">
        <v>64</v>
      </c>
      <c r="O213" t="s">
        <v>65</v>
      </c>
      <c r="P213" t="s">
        <v>41</v>
      </c>
      <c r="Q213" t="s">
        <v>158</v>
      </c>
      <c r="R213" t="s">
        <v>1258</v>
      </c>
      <c r="S213" t="s">
        <v>44</v>
      </c>
      <c r="T213">
        <v>5</v>
      </c>
      <c r="U213">
        <v>2235.85</v>
      </c>
      <c r="V213">
        <v>0.25</v>
      </c>
      <c r="W213">
        <v>0.25</v>
      </c>
      <c r="X213">
        <v>8384.44</v>
      </c>
      <c r="Y213">
        <f t="shared" si="24"/>
        <v>8384.44</v>
      </c>
      <c r="Z213">
        <v>4765.96</v>
      </c>
      <c r="AA213">
        <v>3618.48</v>
      </c>
      <c r="AB213">
        <f t="shared" si="29"/>
        <v>3618.4800000000005</v>
      </c>
      <c r="AC213" s="8">
        <f t="shared" si="30"/>
        <v>0.4315708622162005</v>
      </c>
      <c r="AD213" t="s">
        <v>32</v>
      </c>
      <c r="AE213" t="s">
        <v>103</v>
      </c>
      <c r="AF213" t="str">
        <f t="shared" si="31"/>
        <v>Perfect Match</v>
      </c>
    </row>
    <row r="214" spans="1:32">
      <c r="A214" t="str">
        <f>IF(OR(I214&lt;0, ISTEXT(W214), ISTEXT(Y214)), "Invalid", IF(OR(B214="Conflicting Duplicate", M214="Unknown", S214="Unknown"), "Warning", "Valid"))</f>
        <v>Valid</v>
      </c>
      <c r="B214" t="str">
        <f t="shared" si="25"/>
        <v>-</v>
      </c>
      <c r="C214" t="s">
        <v>1269</v>
      </c>
      <c r="D214" s="2">
        <v>45366</v>
      </c>
      <c r="E214" t="str">
        <f t="shared" si="26"/>
        <v>March</v>
      </c>
      <c r="F214">
        <f t="shared" si="27"/>
        <v>2024</v>
      </c>
      <c r="G214" s="2">
        <v>45371</v>
      </c>
      <c r="H214" t="s">
        <v>1270</v>
      </c>
      <c r="I214">
        <f t="shared" si="28"/>
        <v>5</v>
      </c>
      <c r="J214" t="s">
        <v>2795</v>
      </c>
      <c r="K214" t="s">
        <v>141</v>
      </c>
      <c r="L214" t="s">
        <v>24</v>
      </c>
      <c r="M214" t="s">
        <v>38</v>
      </c>
      <c r="N214" t="s">
        <v>228</v>
      </c>
      <c r="O214" t="s">
        <v>229</v>
      </c>
      <c r="P214" t="s">
        <v>74</v>
      </c>
      <c r="Q214" t="s">
        <v>80</v>
      </c>
      <c r="R214" t="s">
        <v>1271</v>
      </c>
      <c r="S214" t="s">
        <v>59</v>
      </c>
      <c r="T214">
        <v>2</v>
      </c>
      <c r="U214">
        <v>1881.4</v>
      </c>
      <c r="V214">
        <v>0.25</v>
      </c>
      <c r="W214">
        <v>0.25</v>
      </c>
      <c r="X214">
        <v>2822.1</v>
      </c>
      <c r="Y214">
        <f t="shared" si="24"/>
        <v>2822.1</v>
      </c>
      <c r="Z214">
        <v>1624.57</v>
      </c>
      <c r="AA214">
        <v>1197.53</v>
      </c>
      <c r="AB214">
        <f t="shared" si="29"/>
        <v>1197.53</v>
      </c>
      <c r="AC214" s="8">
        <f t="shared" si="30"/>
        <v>0.42434003047376068</v>
      </c>
      <c r="AD214" t="s">
        <v>32</v>
      </c>
      <c r="AE214" t="s">
        <v>103</v>
      </c>
      <c r="AF214" t="str">
        <f t="shared" si="31"/>
        <v>Perfect Match</v>
      </c>
    </row>
    <row r="215" spans="1:32">
      <c r="A215" t="str">
        <f>IF(OR(I215&lt;0, ISTEXT(W215), ISTEXT(Y215)), "Invalid", IF(OR(B215="Conflicting Duplicate", M215="Unknown", S215="Unknown"), "Warning", "Valid"))</f>
        <v>Valid</v>
      </c>
      <c r="B215" t="str">
        <f t="shared" si="25"/>
        <v>-</v>
      </c>
      <c r="C215" t="s">
        <v>1281</v>
      </c>
      <c r="D215" s="2">
        <v>45425</v>
      </c>
      <c r="E215" t="str">
        <f t="shared" si="26"/>
        <v>May</v>
      </c>
      <c r="F215">
        <f t="shared" si="27"/>
        <v>2024</v>
      </c>
      <c r="G215" s="2">
        <v>45430</v>
      </c>
      <c r="H215" t="s">
        <v>1282</v>
      </c>
      <c r="I215">
        <f t="shared" si="28"/>
        <v>5</v>
      </c>
      <c r="J215" t="s">
        <v>2795</v>
      </c>
      <c r="K215" t="s">
        <v>47</v>
      </c>
      <c r="L215" t="s">
        <v>37</v>
      </c>
      <c r="M215" t="s">
        <v>63</v>
      </c>
      <c r="N215" t="s">
        <v>180</v>
      </c>
      <c r="O215" t="s">
        <v>181</v>
      </c>
      <c r="P215" t="s">
        <v>41</v>
      </c>
      <c r="Q215" t="s">
        <v>66</v>
      </c>
      <c r="R215" t="s">
        <v>1283</v>
      </c>
      <c r="S215" t="s">
        <v>59</v>
      </c>
      <c r="T215">
        <v>3</v>
      </c>
      <c r="U215">
        <v>3128.59</v>
      </c>
      <c r="V215">
        <v>0</v>
      </c>
      <c r="W215">
        <v>0</v>
      </c>
      <c r="X215">
        <v>9385.77</v>
      </c>
      <c r="Y215">
        <f t="shared" si="24"/>
        <v>9385.77</v>
      </c>
      <c r="Z215">
        <v>6872.44</v>
      </c>
      <c r="AA215">
        <v>2783.66</v>
      </c>
      <c r="AB215">
        <f t="shared" si="29"/>
        <v>2513.3300000000008</v>
      </c>
      <c r="AC215" s="8">
        <f t="shared" si="30"/>
        <v>0.26778090662779941</v>
      </c>
      <c r="AD215" t="s">
        <v>32</v>
      </c>
      <c r="AE215" t="s">
        <v>33</v>
      </c>
      <c r="AF215" t="str">
        <f t="shared" si="31"/>
        <v>Mismatch Found</v>
      </c>
    </row>
    <row r="216" spans="1:32">
      <c r="A216" t="str">
        <f>IF(OR(I216&lt;0, ISTEXT(W216), ISTEXT(Y216)), "Invalid", IF(OR(B216="Conflicting Duplicate", M216="Unknown", S216="Unknown"), "Warning", "Valid"))</f>
        <v>Valid</v>
      </c>
      <c r="B216" t="str">
        <f t="shared" si="25"/>
        <v>-</v>
      </c>
      <c r="C216" t="s">
        <v>1284</v>
      </c>
      <c r="D216" s="2">
        <v>45387</v>
      </c>
      <c r="E216" t="str">
        <f t="shared" si="26"/>
        <v>April</v>
      </c>
      <c r="F216">
        <f t="shared" si="27"/>
        <v>2024</v>
      </c>
      <c r="G216" s="2">
        <v>45395</v>
      </c>
      <c r="H216" t="s">
        <v>1285</v>
      </c>
      <c r="I216">
        <f t="shared" si="28"/>
        <v>8</v>
      </c>
      <c r="J216" t="s">
        <v>2795</v>
      </c>
      <c r="K216" t="s">
        <v>162</v>
      </c>
      <c r="L216" t="s">
        <v>90</v>
      </c>
      <c r="M216" t="s">
        <v>63</v>
      </c>
      <c r="N216" t="s">
        <v>180</v>
      </c>
      <c r="O216" t="s">
        <v>181</v>
      </c>
      <c r="P216" t="s">
        <v>74</v>
      </c>
      <c r="Q216" t="s">
        <v>274</v>
      </c>
      <c r="R216" t="s">
        <v>1286</v>
      </c>
      <c r="S216" t="s">
        <v>31</v>
      </c>
      <c r="T216">
        <v>5</v>
      </c>
      <c r="U216">
        <v>1937.54</v>
      </c>
      <c r="V216">
        <v>0.2</v>
      </c>
      <c r="W216">
        <v>0.2</v>
      </c>
      <c r="X216">
        <v>7750.16</v>
      </c>
      <c r="Y216">
        <f t="shared" si="24"/>
        <v>7750.16</v>
      </c>
      <c r="Z216">
        <v>5434.3</v>
      </c>
      <c r="AA216">
        <v>2315.86</v>
      </c>
      <c r="AB216">
        <f t="shared" si="29"/>
        <v>2315.8599999999997</v>
      </c>
      <c r="AC216" s="8">
        <f t="shared" si="30"/>
        <v>0.29881447608823558</v>
      </c>
      <c r="AD216" t="s">
        <v>111</v>
      </c>
      <c r="AE216" t="s">
        <v>68</v>
      </c>
      <c r="AF216" t="str">
        <f t="shared" si="31"/>
        <v>Perfect Match</v>
      </c>
    </row>
    <row r="217" spans="1:32">
      <c r="A217" t="str">
        <f>IF(OR(I217&lt;0, ISTEXT(W217), ISTEXT(Y217)), "Invalid", IF(OR(B217="Conflicting Duplicate", M217="Unknown", S217="Unknown"), "Warning", "Valid"))</f>
        <v>Valid</v>
      </c>
      <c r="B217" t="str">
        <f t="shared" si="25"/>
        <v>-</v>
      </c>
      <c r="C217" t="s">
        <v>1287</v>
      </c>
      <c r="D217" s="2">
        <v>45602</v>
      </c>
      <c r="E217" t="str">
        <f t="shared" si="26"/>
        <v>November</v>
      </c>
      <c r="F217">
        <f t="shared" si="27"/>
        <v>2024</v>
      </c>
      <c r="G217" s="2">
        <v>45607</v>
      </c>
      <c r="H217" t="s">
        <v>1288</v>
      </c>
      <c r="I217">
        <f t="shared" si="28"/>
        <v>5</v>
      </c>
      <c r="J217" t="s">
        <v>2795</v>
      </c>
      <c r="K217" t="s">
        <v>47</v>
      </c>
      <c r="L217" t="s">
        <v>24</v>
      </c>
      <c r="M217" t="s">
        <v>63</v>
      </c>
      <c r="N217" t="s">
        <v>180</v>
      </c>
      <c r="O217" t="s">
        <v>181</v>
      </c>
      <c r="P217" t="s">
        <v>41</v>
      </c>
      <c r="Q217" t="s">
        <v>57</v>
      </c>
      <c r="R217" t="s">
        <v>1289</v>
      </c>
      <c r="S217" t="s">
        <v>59</v>
      </c>
      <c r="T217">
        <v>4</v>
      </c>
      <c r="U217">
        <v>1917.26</v>
      </c>
      <c r="V217">
        <v>0.2</v>
      </c>
      <c r="W217">
        <v>0.2</v>
      </c>
      <c r="X217">
        <v>6135.23</v>
      </c>
      <c r="Y217">
        <f t="shared" si="24"/>
        <v>6135.23</v>
      </c>
      <c r="Z217">
        <v>3439.79</v>
      </c>
      <c r="AA217">
        <v>2695.44</v>
      </c>
      <c r="AB217">
        <f t="shared" si="29"/>
        <v>2695.4399999999996</v>
      </c>
      <c r="AC217" s="8">
        <f t="shared" si="30"/>
        <v>0.4393380525261481</v>
      </c>
      <c r="AD217" t="s">
        <v>32</v>
      </c>
      <c r="AE217" t="s">
        <v>33</v>
      </c>
      <c r="AF217" t="str">
        <f t="shared" si="31"/>
        <v>Perfect Match</v>
      </c>
    </row>
    <row r="218" spans="1:32">
      <c r="A218" t="str">
        <f>IF(OR(I218&lt;0, ISTEXT(W218), ISTEXT(Y218)), "Invalid", IF(OR(B218="Conflicting Duplicate", M218="Unknown", S218="Unknown"), "Warning", "Valid"))</f>
        <v>Valid</v>
      </c>
      <c r="B218" t="str">
        <f t="shared" si="25"/>
        <v>-</v>
      </c>
      <c r="C218" t="s">
        <v>1293</v>
      </c>
      <c r="D218" s="2">
        <v>45341</v>
      </c>
      <c r="E218" t="str">
        <f t="shared" si="26"/>
        <v>February</v>
      </c>
      <c r="F218">
        <f t="shared" si="27"/>
        <v>2024</v>
      </c>
      <c r="G218" s="2">
        <v>45344</v>
      </c>
      <c r="H218" t="s">
        <v>1294</v>
      </c>
      <c r="I218">
        <f t="shared" si="28"/>
        <v>3</v>
      </c>
      <c r="J218" t="s">
        <v>2795</v>
      </c>
      <c r="K218" t="s">
        <v>89</v>
      </c>
      <c r="L218" t="s">
        <v>37</v>
      </c>
      <c r="M218" t="s">
        <v>54</v>
      </c>
      <c r="N218" t="s">
        <v>185</v>
      </c>
      <c r="O218" t="s">
        <v>186</v>
      </c>
      <c r="P218" t="s">
        <v>41</v>
      </c>
      <c r="Q218" t="s">
        <v>57</v>
      </c>
      <c r="R218" t="s">
        <v>1295</v>
      </c>
      <c r="S218" t="s">
        <v>44</v>
      </c>
      <c r="T218">
        <v>9</v>
      </c>
      <c r="U218">
        <v>4053.01</v>
      </c>
      <c r="V218">
        <v>0</v>
      </c>
      <c r="W218">
        <v>0</v>
      </c>
      <c r="X218">
        <v>36477.089999999997</v>
      </c>
      <c r="Y218">
        <f t="shared" si="24"/>
        <v>36477.089999999997</v>
      </c>
      <c r="Z218">
        <v>24525.48</v>
      </c>
      <c r="AA218">
        <v>11951.61</v>
      </c>
      <c r="AB218">
        <f t="shared" si="29"/>
        <v>11951.609999999997</v>
      </c>
      <c r="AC218" s="8">
        <f t="shared" si="30"/>
        <v>0.32764702447481414</v>
      </c>
      <c r="AD218" t="s">
        <v>32</v>
      </c>
      <c r="AE218" t="s">
        <v>33</v>
      </c>
      <c r="AF218" t="str">
        <f t="shared" si="31"/>
        <v>Perfect Match</v>
      </c>
    </row>
    <row r="219" spans="1:32">
      <c r="A219" t="str">
        <f>IF(OR(I219&lt;0, ISTEXT(W219), ISTEXT(Y219)), "Invalid", IF(OR(B219="Conflicting Duplicate", M219="Unknown", S219="Unknown"), "Warning", "Valid"))</f>
        <v>Valid</v>
      </c>
      <c r="B219" t="str">
        <f t="shared" si="25"/>
        <v>-</v>
      </c>
      <c r="C219" t="s">
        <v>1296</v>
      </c>
      <c r="D219" s="2">
        <v>45527</v>
      </c>
      <c r="E219" t="str">
        <f t="shared" si="26"/>
        <v>August</v>
      </c>
      <c r="F219">
        <f t="shared" si="27"/>
        <v>2024</v>
      </c>
      <c r="G219" s="2">
        <v>45533</v>
      </c>
      <c r="H219" t="s">
        <v>1297</v>
      </c>
      <c r="I219">
        <f t="shared" si="28"/>
        <v>6</v>
      </c>
      <c r="J219" t="s">
        <v>2795</v>
      </c>
      <c r="K219" t="s">
        <v>36</v>
      </c>
      <c r="L219" t="s">
        <v>90</v>
      </c>
      <c r="M219" t="s">
        <v>25</v>
      </c>
      <c r="N219" t="s">
        <v>136</v>
      </c>
      <c r="O219" t="s">
        <v>137</v>
      </c>
      <c r="P219" t="s">
        <v>28</v>
      </c>
      <c r="Q219" t="s">
        <v>91</v>
      </c>
      <c r="R219" t="s">
        <v>1298</v>
      </c>
      <c r="S219" t="s">
        <v>44</v>
      </c>
      <c r="T219">
        <v>2</v>
      </c>
      <c r="U219">
        <v>1936.91</v>
      </c>
      <c r="V219">
        <v>0.05</v>
      </c>
      <c r="W219">
        <v>0.05</v>
      </c>
      <c r="X219">
        <v>3680.13</v>
      </c>
      <c r="Y219">
        <f t="shared" si="24"/>
        <v>3680.13</v>
      </c>
      <c r="Z219">
        <v>2967.46</v>
      </c>
      <c r="AA219">
        <v>712.67</v>
      </c>
      <c r="AB219">
        <f t="shared" si="29"/>
        <v>712.67000000000007</v>
      </c>
      <c r="AC219" s="8">
        <f t="shared" si="30"/>
        <v>0.19365348506710361</v>
      </c>
      <c r="AD219" t="s">
        <v>32</v>
      </c>
      <c r="AE219" t="s">
        <v>33</v>
      </c>
      <c r="AF219" t="str">
        <f t="shared" si="31"/>
        <v>Perfect Match</v>
      </c>
    </row>
    <row r="220" spans="1:32">
      <c r="A220" t="str">
        <f>IF(OR(I220&lt;0, ISTEXT(W220), ISTEXT(Y220)), "Invalid", IF(OR(B220="Conflicting Duplicate", M220="Unknown", S220="Unknown"), "Warning", "Valid"))</f>
        <v>Valid</v>
      </c>
      <c r="B220" t="str">
        <f t="shared" si="25"/>
        <v>-</v>
      </c>
      <c r="C220" t="s">
        <v>1299</v>
      </c>
      <c r="D220" s="2">
        <v>45355</v>
      </c>
      <c r="E220" t="str">
        <f t="shared" si="26"/>
        <v>March</v>
      </c>
      <c r="F220">
        <f t="shared" si="27"/>
        <v>2024</v>
      </c>
      <c r="G220" s="2">
        <v>45386</v>
      </c>
      <c r="H220" t="s">
        <v>1300</v>
      </c>
      <c r="I220">
        <f t="shared" si="28"/>
        <v>31</v>
      </c>
      <c r="J220" t="s">
        <v>2795</v>
      </c>
      <c r="K220" t="s">
        <v>264</v>
      </c>
      <c r="L220" t="s">
        <v>24</v>
      </c>
      <c r="M220" t="s">
        <v>63</v>
      </c>
      <c r="N220" t="s">
        <v>64</v>
      </c>
      <c r="O220" t="s">
        <v>65</v>
      </c>
      <c r="P220" t="s">
        <v>41</v>
      </c>
      <c r="Q220" t="s">
        <v>57</v>
      </c>
      <c r="R220" t="s">
        <v>1301</v>
      </c>
      <c r="S220" t="s">
        <v>50</v>
      </c>
      <c r="T220">
        <v>7</v>
      </c>
      <c r="U220">
        <v>3945.21</v>
      </c>
      <c r="V220">
        <v>0</v>
      </c>
      <c r="W220">
        <v>0</v>
      </c>
      <c r="X220">
        <v>27616.47</v>
      </c>
      <c r="Y220">
        <f t="shared" si="24"/>
        <v>27616.47</v>
      </c>
      <c r="Z220">
        <v>21225.26</v>
      </c>
      <c r="AA220">
        <v>6391.21</v>
      </c>
      <c r="AB220">
        <f t="shared" si="29"/>
        <v>6391.2100000000028</v>
      </c>
      <c r="AC220" s="8">
        <f t="shared" si="30"/>
        <v>0.23142747787823725</v>
      </c>
      <c r="AD220" t="s">
        <v>32</v>
      </c>
      <c r="AE220" t="s">
        <v>33</v>
      </c>
      <c r="AF220" t="str">
        <f t="shared" si="31"/>
        <v>Perfect Match</v>
      </c>
    </row>
    <row r="221" spans="1:32">
      <c r="A221" t="str">
        <f>IF(OR(I221&lt;0, ISTEXT(W221), ISTEXT(Y221)), "Invalid", IF(OR(B221="Conflicting Duplicate", M221="Unknown", S221="Unknown"), "Warning", "Valid"))</f>
        <v>Valid</v>
      </c>
      <c r="B221" t="str">
        <f t="shared" si="25"/>
        <v>-</v>
      </c>
      <c r="C221" t="s">
        <v>1302</v>
      </c>
      <c r="D221" s="2">
        <v>45449</v>
      </c>
      <c r="E221" t="str">
        <f t="shared" si="26"/>
        <v>June</v>
      </c>
      <c r="F221">
        <f t="shared" si="27"/>
        <v>2024</v>
      </c>
      <c r="G221" s="2">
        <v>45450</v>
      </c>
      <c r="H221" t="s">
        <v>1303</v>
      </c>
      <c r="I221">
        <f t="shared" si="28"/>
        <v>1</v>
      </c>
      <c r="J221" t="s">
        <v>2795</v>
      </c>
      <c r="K221" t="s">
        <v>118</v>
      </c>
      <c r="L221" t="s">
        <v>95</v>
      </c>
      <c r="M221" t="s">
        <v>54</v>
      </c>
      <c r="N221" t="s">
        <v>247</v>
      </c>
      <c r="O221" t="s">
        <v>248</v>
      </c>
      <c r="P221" t="s">
        <v>41</v>
      </c>
      <c r="Q221" t="s">
        <v>42</v>
      </c>
      <c r="R221" t="s">
        <v>1304</v>
      </c>
      <c r="S221" t="s">
        <v>44</v>
      </c>
      <c r="T221">
        <v>7</v>
      </c>
      <c r="U221">
        <v>861.91</v>
      </c>
      <c r="V221">
        <v>0.05</v>
      </c>
      <c r="W221">
        <v>0.05</v>
      </c>
      <c r="X221">
        <v>5731.7</v>
      </c>
      <c r="Y221">
        <f t="shared" si="24"/>
        <v>5731.7</v>
      </c>
      <c r="Z221">
        <v>4115.5600000000004</v>
      </c>
      <c r="AA221">
        <v>1616.14</v>
      </c>
      <c r="AB221">
        <f t="shared" si="29"/>
        <v>1616.1399999999994</v>
      </c>
      <c r="AC221" s="8">
        <f t="shared" si="30"/>
        <v>0.28196521101941824</v>
      </c>
      <c r="AD221" t="s">
        <v>32</v>
      </c>
      <c r="AE221" t="s">
        <v>33</v>
      </c>
      <c r="AF221" t="str">
        <f t="shared" si="31"/>
        <v>Perfect Match</v>
      </c>
    </row>
    <row r="222" spans="1:32">
      <c r="A222" t="str">
        <f>IF(OR(I222&lt;0, ISTEXT(W222), ISTEXT(Y222)), "Invalid", IF(OR(B222="Conflicting Duplicate", M222="Unknown", S222="Unknown"), "Warning", "Valid"))</f>
        <v>Valid</v>
      </c>
      <c r="B222" t="str">
        <f t="shared" si="25"/>
        <v>-</v>
      </c>
      <c r="C222" t="s">
        <v>1311</v>
      </c>
      <c r="D222" s="2">
        <v>45492</v>
      </c>
      <c r="E222" t="str">
        <f t="shared" si="26"/>
        <v>July</v>
      </c>
      <c r="F222">
        <f t="shared" si="27"/>
        <v>2024</v>
      </c>
      <c r="G222" s="2">
        <v>45499</v>
      </c>
      <c r="H222" t="s">
        <v>1312</v>
      </c>
      <c r="I222">
        <f t="shared" si="28"/>
        <v>7</v>
      </c>
      <c r="J222" t="s">
        <v>2795</v>
      </c>
      <c r="K222" t="s">
        <v>71</v>
      </c>
      <c r="L222" t="s">
        <v>90</v>
      </c>
      <c r="M222" t="s">
        <v>25</v>
      </c>
      <c r="N222" t="s">
        <v>122</v>
      </c>
      <c r="O222" t="s">
        <v>123</v>
      </c>
      <c r="P222" t="s">
        <v>74</v>
      </c>
      <c r="Q222" t="s">
        <v>274</v>
      </c>
      <c r="R222" t="s">
        <v>1313</v>
      </c>
      <c r="S222" t="s">
        <v>44</v>
      </c>
      <c r="T222">
        <v>2</v>
      </c>
      <c r="U222">
        <v>1263.6500000000001</v>
      </c>
      <c r="V222">
        <v>0.2</v>
      </c>
      <c r="W222">
        <v>0.2</v>
      </c>
      <c r="X222">
        <v>2021.84</v>
      </c>
      <c r="Y222">
        <f t="shared" si="24"/>
        <v>2021.84</v>
      </c>
      <c r="Z222">
        <v>1355.22</v>
      </c>
      <c r="AA222">
        <v>666.62</v>
      </c>
      <c r="AB222">
        <f t="shared" si="29"/>
        <v>666.61999999999989</v>
      </c>
      <c r="AC222" s="8">
        <f t="shared" si="30"/>
        <v>0.32970957147944441</v>
      </c>
      <c r="AD222" t="s">
        <v>32</v>
      </c>
      <c r="AE222" t="s">
        <v>33</v>
      </c>
      <c r="AF222" t="str">
        <f t="shared" si="31"/>
        <v>Perfect Match</v>
      </c>
    </row>
    <row r="223" spans="1:32">
      <c r="A223" s="6" t="str">
        <f>IF(OR(I223&lt;0, ISTEXT(W223), ISTEXT(Y223)), "Invalid", IF(OR(B223="Conflicting Duplicate", M223="Unknown", S223="Unknown"), "Warning", "Valid"))</f>
        <v>Warning</v>
      </c>
      <c r="B223" t="str">
        <f t="shared" si="25"/>
        <v>-</v>
      </c>
      <c r="C223" t="s">
        <v>1323</v>
      </c>
      <c r="D223" s="2">
        <v>45373</v>
      </c>
      <c r="E223" t="str">
        <f t="shared" si="26"/>
        <v>March</v>
      </c>
      <c r="F223">
        <f t="shared" si="27"/>
        <v>2024</v>
      </c>
      <c r="G223" s="2">
        <v>45373</v>
      </c>
      <c r="H223" t="s">
        <v>1324</v>
      </c>
      <c r="I223">
        <f t="shared" si="28"/>
        <v>0</v>
      </c>
      <c r="J223" t="s">
        <v>2795</v>
      </c>
      <c r="K223" t="s">
        <v>114</v>
      </c>
      <c r="L223" t="s">
        <v>37</v>
      </c>
      <c r="M223" t="s">
        <v>54</v>
      </c>
      <c r="N223" t="s">
        <v>175</v>
      </c>
      <c r="O223" t="s">
        <v>176</v>
      </c>
      <c r="P223" t="s">
        <v>41</v>
      </c>
      <c r="Q223" t="s">
        <v>42</v>
      </c>
      <c r="R223" t="s">
        <v>1325</v>
      </c>
      <c r="S223" s="4" t="s">
        <v>2790</v>
      </c>
      <c r="T223">
        <v>3</v>
      </c>
      <c r="U223">
        <v>1365.26</v>
      </c>
      <c r="V223">
        <v>0</v>
      </c>
      <c r="W223">
        <v>0</v>
      </c>
      <c r="X223">
        <v>4095.78</v>
      </c>
      <c r="Y223">
        <f t="shared" si="24"/>
        <v>4095.78</v>
      </c>
      <c r="Z223">
        <v>2807.77</v>
      </c>
      <c r="AA223">
        <v>1288.01</v>
      </c>
      <c r="AB223">
        <f t="shared" si="29"/>
        <v>1288.0100000000002</v>
      </c>
      <c r="AC223" s="8">
        <f t="shared" si="30"/>
        <v>0.31447245701673432</v>
      </c>
      <c r="AD223" t="s">
        <v>32</v>
      </c>
      <c r="AE223" t="s">
        <v>33</v>
      </c>
      <c r="AF223" t="str">
        <f t="shared" si="31"/>
        <v>Perfect Match</v>
      </c>
    </row>
    <row r="224" spans="1:32">
      <c r="A224" s="6" t="str">
        <f>IF(OR(I224&lt;0, ISTEXT(W224), ISTEXT(Y224)), "Invalid", IF(OR(B224="Conflicting Duplicate", M224="Unknown", S224="Unknown"), "Warning", "Valid"))</f>
        <v>Invalid</v>
      </c>
      <c r="B224" t="str">
        <f t="shared" si="25"/>
        <v>-</v>
      </c>
      <c r="C224" t="s">
        <v>1326</v>
      </c>
      <c r="D224" s="2">
        <v>45565</v>
      </c>
      <c r="E224" t="str">
        <f t="shared" si="26"/>
        <v>September</v>
      </c>
      <c r="F224">
        <f t="shared" si="27"/>
        <v>2024</v>
      </c>
      <c r="G224" s="2">
        <v>45392</v>
      </c>
      <c r="H224" t="s">
        <v>1327</v>
      </c>
      <c r="I224" s="7">
        <f t="shared" si="28"/>
        <v>-173</v>
      </c>
      <c r="J224" s="7" t="s">
        <v>2802</v>
      </c>
      <c r="K224" t="s">
        <v>53</v>
      </c>
      <c r="L224" t="s">
        <v>37</v>
      </c>
      <c r="M224" t="s">
        <v>54</v>
      </c>
      <c r="N224" t="s">
        <v>185</v>
      </c>
      <c r="O224" t="s">
        <v>186</v>
      </c>
      <c r="P224" t="s">
        <v>28</v>
      </c>
      <c r="Q224" t="s">
        <v>1328</v>
      </c>
      <c r="R224" t="s">
        <v>1329</v>
      </c>
      <c r="S224" t="s">
        <v>44</v>
      </c>
      <c r="T224">
        <v>5</v>
      </c>
      <c r="U224">
        <v>3512.25</v>
      </c>
      <c r="V224">
        <v>0.05</v>
      </c>
      <c r="W224">
        <v>0.05</v>
      </c>
      <c r="X224">
        <v>16683.189999999999</v>
      </c>
      <c r="Y224">
        <f t="shared" si="24"/>
        <v>16683.189999999999</v>
      </c>
      <c r="Z224">
        <v>10301.16</v>
      </c>
      <c r="AA224">
        <v>6382.03</v>
      </c>
      <c r="AB224">
        <f t="shared" si="29"/>
        <v>6382.0299999999988</v>
      </c>
      <c r="AC224" s="8">
        <f t="shared" si="30"/>
        <v>0.38254254731858833</v>
      </c>
      <c r="AD224" t="s">
        <v>32</v>
      </c>
      <c r="AE224" t="s">
        <v>103</v>
      </c>
      <c r="AF224" t="str">
        <f t="shared" si="31"/>
        <v>Perfect Match</v>
      </c>
    </row>
    <row r="225" spans="1:32">
      <c r="A225" t="str">
        <f>IF(OR(I225&lt;0, ISTEXT(W225), ISTEXT(Y225)), "Invalid", IF(OR(B225="Conflicting Duplicate", M225="Unknown", S225="Unknown"), "Warning", "Valid"))</f>
        <v>Valid</v>
      </c>
      <c r="B225" t="str">
        <f t="shared" si="25"/>
        <v>-</v>
      </c>
      <c r="C225" t="s">
        <v>1330</v>
      </c>
      <c r="D225" s="2">
        <v>45318</v>
      </c>
      <c r="E225" t="str">
        <f t="shared" si="26"/>
        <v>January</v>
      </c>
      <c r="F225">
        <f t="shared" si="27"/>
        <v>2024</v>
      </c>
      <c r="G225" s="2">
        <v>45325</v>
      </c>
      <c r="H225" t="s">
        <v>1331</v>
      </c>
      <c r="I225">
        <f t="shared" si="28"/>
        <v>7</v>
      </c>
      <c r="J225" t="s">
        <v>2795</v>
      </c>
      <c r="K225" t="s">
        <v>89</v>
      </c>
      <c r="L225" t="s">
        <v>90</v>
      </c>
      <c r="M225" t="s">
        <v>63</v>
      </c>
      <c r="N225" t="s">
        <v>26</v>
      </c>
      <c r="O225" t="s">
        <v>109</v>
      </c>
      <c r="P225" t="s">
        <v>41</v>
      </c>
      <c r="Q225" t="s">
        <v>66</v>
      </c>
      <c r="R225" t="s">
        <v>1332</v>
      </c>
      <c r="S225" t="s">
        <v>44</v>
      </c>
      <c r="T225">
        <v>3</v>
      </c>
      <c r="U225">
        <v>359.61</v>
      </c>
      <c r="V225">
        <v>0</v>
      </c>
      <c r="W225">
        <v>0</v>
      </c>
      <c r="X225">
        <v>1078.83</v>
      </c>
      <c r="Y225">
        <f t="shared" si="24"/>
        <v>1078.83</v>
      </c>
      <c r="Z225">
        <v>926.35</v>
      </c>
      <c r="AA225">
        <v>152.47999999999999</v>
      </c>
      <c r="AB225">
        <f t="shared" si="29"/>
        <v>152.4799999999999</v>
      </c>
      <c r="AC225" s="8">
        <f t="shared" si="30"/>
        <v>0.14133830167867034</v>
      </c>
      <c r="AD225" t="s">
        <v>32</v>
      </c>
      <c r="AE225" t="s">
        <v>33</v>
      </c>
      <c r="AF225" t="str">
        <f t="shared" si="31"/>
        <v>Perfect Match</v>
      </c>
    </row>
    <row r="226" spans="1:32">
      <c r="A226" s="6" t="str">
        <f>IF(OR(I226&lt;0, ISTEXT(W226), ISTEXT(Y226)), "Invalid", IF(OR(B226="Conflicting Duplicate", M226="Unknown", S226="Unknown"), "Warning", "Valid"))</f>
        <v>Warning</v>
      </c>
      <c r="B226" t="str">
        <f t="shared" si="25"/>
        <v>-</v>
      </c>
      <c r="C226" t="s">
        <v>1333</v>
      </c>
      <c r="D226" s="2">
        <v>45558</v>
      </c>
      <c r="E226" t="str">
        <f t="shared" si="26"/>
        <v>September</v>
      </c>
      <c r="F226">
        <f t="shared" si="27"/>
        <v>2024</v>
      </c>
      <c r="G226" s="2">
        <v>45559</v>
      </c>
      <c r="H226" t="s">
        <v>1334</v>
      </c>
      <c r="I226">
        <f t="shared" si="28"/>
        <v>1</v>
      </c>
      <c r="J226" t="s">
        <v>2795</v>
      </c>
      <c r="K226" t="s">
        <v>89</v>
      </c>
      <c r="L226" t="s">
        <v>95</v>
      </c>
      <c r="M226" t="s">
        <v>63</v>
      </c>
      <c r="N226" t="s">
        <v>180</v>
      </c>
      <c r="O226" t="s">
        <v>181</v>
      </c>
      <c r="P226" t="s">
        <v>41</v>
      </c>
      <c r="Q226" t="s">
        <v>158</v>
      </c>
      <c r="R226" t="s">
        <v>1335</v>
      </c>
      <c r="S226" s="4" t="s">
        <v>2790</v>
      </c>
      <c r="T226">
        <v>7</v>
      </c>
      <c r="U226">
        <v>3878.01</v>
      </c>
      <c r="V226">
        <v>0.1</v>
      </c>
      <c r="W226">
        <v>0.1</v>
      </c>
      <c r="X226">
        <v>24431.46</v>
      </c>
      <c r="Y226">
        <f t="shared" si="24"/>
        <v>24431.46</v>
      </c>
      <c r="Z226">
        <v>18202.36</v>
      </c>
      <c r="AA226">
        <v>6229.1</v>
      </c>
      <c r="AB226">
        <f t="shared" si="29"/>
        <v>6229.0999999999985</v>
      </c>
      <c r="AC226" s="8">
        <f t="shared" si="30"/>
        <v>0.25496224949307161</v>
      </c>
      <c r="AD226" t="s">
        <v>32</v>
      </c>
      <c r="AE226" t="s">
        <v>33</v>
      </c>
      <c r="AF226" t="str">
        <f t="shared" si="31"/>
        <v>Perfect Match</v>
      </c>
    </row>
    <row r="227" spans="1:32">
      <c r="A227" t="str">
        <f>IF(OR(I227&lt;0, ISTEXT(W227), ISTEXT(Y227)), "Invalid", IF(OR(B227="Conflicting Duplicate", M227="Unknown", S227="Unknown"), "Warning", "Valid"))</f>
        <v>Valid</v>
      </c>
      <c r="B227" t="str">
        <f t="shared" si="25"/>
        <v>-</v>
      </c>
      <c r="C227" t="s">
        <v>1339</v>
      </c>
      <c r="D227" s="2">
        <v>45424</v>
      </c>
      <c r="E227" t="str">
        <f t="shared" si="26"/>
        <v>May</v>
      </c>
      <c r="F227">
        <f t="shared" si="27"/>
        <v>2024</v>
      </c>
      <c r="G227" s="2">
        <v>45425</v>
      </c>
      <c r="H227" t="s">
        <v>1340</v>
      </c>
      <c r="I227">
        <f t="shared" si="28"/>
        <v>1</v>
      </c>
      <c r="J227" t="s">
        <v>2795</v>
      </c>
      <c r="K227" t="s">
        <v>118</v>
      </c>
      <c r="L227" t="s">
        <v>90</v>
      </c>
      <c r="M227" t="s">
        <v>63</v>
      </c>
      <c r="N227" t="s">
        <v>190</v>
      </c>
      <c r="O227" t="s">
        <v>191</v>
      </c>
      <c r="P227" t="s">
        <v>28</v>
      </c>
      <c r="Q227" t="s">
        <v>91</v>
      </c>
      <c r="R227" t="s">
        <v>1341</v>
      </c>
      <c r="S227" t="s">
        <v>31</v>
      </c>
      <c r="T227">
        <v>3</v>
      </c>
      <c r="U227">
        <v>2644.55</v>
      </c>
      <c r="V227">
        <v>0</v>
      </c>
      <c r="W227">
        <v>0</v>
      </c>
      <c r="X227">
        <v>7933.65</v>
      </c>
      <c r="Y227">
        <f t="shared" si="24"/>
        <v>7933.65</v>
      </c>
      <c r="Z227">
        <v>5698.42</v>
      </c>
      <c r="AA227">
        <v>2235.23</v>
      </c>
      <c r="AB227">
        <f t="shared" si="29"/>
        <v>2235.2299999999996</v>
      </c>
      <c r="AC227" s="8">
        <f t="shared" si="30"/>
        <v>0.28174043473054644</v>
      </c>
      <c r="AD227" t="s">
        <v>32</v>
      </c>
      <c r="AE227" t="s">
        <v>33</v>
      </c>
      <c r="AF227" t="str">
        <f t="shared" si="31"/>
        <v>Perfect Match</v>
      </c>
    </row>
    <row r="228" spans="1:32">
      <c r="A228" t="str">
        <f>IF(OR(I228&lt;0, ISTEXT(W228), ISTEXT(Y228)), "Invalid", IF(OR(B228="Conflicting Duplicate", M228="Unknown", S228="Unknown"), "Warning", "Valid"))</f>
        <v>Valid</v>
      </c>
      <c r="B228" t="str">
        <f t="shared" si="25"/>
        <v>-</v>
      </c>
      <c r="C228" t="s">
        <v>1348</v>
      </c>
      <c r="D228" s="2">
        <v>45394</v>
      </c>
      <c r="E228" t="str">
        <f t="shared" si="26"/>
        <v>April</v>
      </c>
      <c r="F228">
        <f t="shared" si="27"/>
        <v>2024</v>
      </c>
      <c r="G228" s="2">
        <v>45402</v>
      </c>
      <c r="H228" t="s">
        <v>1349</v>
      </c>
      <c r="I228">
        <f t="shared" si="28"/>
        <v>8</v>
      </c>
      <c r="J228" t="s">
        <v>2795</v>
      </c>
      <c r="K228" t="s">
        <v>162</v>
      </c>
      <c r="L228" t="s">
        <v>24</v>
      </c>
      <c r="M228" t="s">
        <v>63</v>
      </c>
      <c r="N228" t="s">
        <v>190</v>
      </c>
      <c r="O228" t="s">
        <v>191</v>
      </c>
      <c r="P228" t="s">
        <v>41</v>
      </c>
      <c r="Q228" t="s">
        <v>42</v>
      </c>
      <c r="R228" t="s">
        <v>1350</v>
      </c>
      <c r="S228" t="s">
        <v>50</v>
      </c>
      <c r="T228">
        <v>9</v>
      </c>
      <c r="U228">
        <v>1302.6099999999999</v>
      </c>
      <c r="V228">
        <v>0.2</v>
      </c>
      <c r="W228">
        <v>0.2</v>
      </c>
      <c r="X228">
        <v>9378.7900000000009</v>
      </c>
      <c r="Y228">
        <f t="shared" si="24"/>
        <v>9378.7900000000009</v>
      </c>
      <c r="Z228">
        <v>6774.48</v>
      </c>
      <c r="AA228">
        <v>2604.31</v>
      </c>
      <c r="AB228">
        <f t="shared" si="29"/>
        <v>2604.3100000000013</v>
      </c>
      <c r="AC228" s="8">
        <f t="shared" si="30"/>
        <v>0.27768080957138408</v>
      </c>
      <c r="AD228" t="s">
        <v>32</v>
      </c>
      <c r="AE228" t="s">
        <v>33</v>
      </c>
      <c r="AF228" t="str">
        <f t="shared" si="31"/>
        <v>Perfect Match</v>
      </c>
    </row>
    <row r="229" spans="1:32">
      <c r="A229" t="str">
        <f>IF(OR(I229&lt;0, ISTEXT(W229), ISTEXT(Y229)), "Invalid", IF(OR(B229="Conflicting Duplicate", M229="Unknown", S229="Unknown"), "Warning", "Valid"))</f>
        <v>Valid</v>
      </c>
      <c r="B229" t="str">
        <f t="shared" si="25"/>
        <v>-</v>
      </c>
      <c r="C229" t="s">
        <v>1354</v>
      </c>
      <c r="D229" s="2">
        <v>45313</v>
      </c>
      <c r="E229" t="str">
        <f t="shared" si="26"/>
        <v>January</v>
      </c>
      <c r="F229">
        <f t="shared" si="27"/>
        <v>2024</v>
      </c>
      <c r="G229" s="2">
        <v>45321</v>
      </c>
      <c r="H229" t="s">
        <v>1355</v>
      </c>
      <c r="I229">
        <f t="shared" si="28"/>
        <v>8</v>
      </c>
      <c r="J229" t="s">
        <v>2795</v>
      </c>
      <c r="K229" t="s">
        <v>47</v>
      </c>
      <c r="L229" t="s">
        <v>90</v>
      </c>
      <c r="M229" t="s">
        <v>54</v>
      </c>
      <c r="N229" t="s">
        <v>175</v>
      </c>
      <c r="O229" t="s">
        <v>176</v>
      </c>
      <c r="P229" t="s">
        <v>41</v>
      </c>
      <c r="Q229" t="s">
        <v>66</v>
      </c>
      <c r="R229" t="s">
        <v>1356</v>
      </c>
      <c r="S229" t="s">
        <v>44</v>
      </c>
      <c r="T229">
        <v>1</v>
      </c>
      <c r="U229">
        <v>2111.39</v>
      </c>
      <c r="V229">
        <v>0.25</v>
      </c>
      <c r="W229">
        <v>0.25</v>
      </c>
      <c r="X229">
        <v>1583.54</v>
      </c>
      <c r="Y229">
        <f t="shared" si="24"/>
        <v>1583.54</v>
      </c>
      <c r="Z229">
        <v>1014.19</v>
      </c>
      <c r="AA229">
        <v>569.35</v>
      </c>
      <c r="AB229">
        <f t="shared" si="29"/>
        <v>569.34999999999991</v>
      </c>
      <c r="AC229" s="8">
        <f t="shared" si="30"/>
        <v>0.35954254392058294</v>
      </c>
      <c r="AD229" t="s">
        <v>32</v>
      </c>
      <c r="AE229" t="s">
        <v>33</v>
      </c>
      <c r="AF229" t="str">
        <f t="shared" si="31"/>
        <v>Perfect Match</v>
      </c>
    </row>
    <row r="230" spans="1:32">
      <c r="A230" t="str">
        <f>IF(OR(I230&lt;0, ISTEXT(W230), ISTEXT(Y230)), "Invalid", IF(OR(B230="Conflicting Duplicate", M230="Unknown", S230="Unknown"), "Warning", "Valid"))</f>
        <v>Valid</v>
      </c>
      <c r="B230" t="str">
        <f t="shared" si="25"/>
        <v>-</v>
      </c>
      <c r="C230" t="s">
        <v>1360</v>
      </c>
      <c r="D230" s="2">
        <v>45533</v>
      </c>
      <c r="E230" t="str">
        <f t="shared" si="26"/>
        <v>August</v>
      </c>
      <c r="F230">
        <f t="shared" si="27"/>
        <v>2024</v>
      </c>
      <c r="G230" s="2">
        <v>45534</v>
      </c>
      <c r="H230" t="s">
        <v>1361</v>
      </c>
      <c r="I230">
        <f t="shared" si="28"/>
        <v>1</v>
      </c>
      <c r="J230" t="s">
        <v>2795</v>
      </c>
      <c r="K230" t="s">
        <v>53</v>
      </c>
      <c r="L230" t="s">
        <v>95</v>
      </c>
      <c r="M230" t="s">
        <v>38</v>
      </c>
      <c r="N230" t="s">
        <v>166</v>
      </c>
      <c r="O230" t="s">
        <v>167</v>
      </c>
      <c r="P230" t="s">
        <v>28</v>
      </c>
      <c r="Q230" t="s">
        <v>124</v>
      </c>
      <c r="R230" t="s">
        <v>1362</v>
      </c>
      <c r="S230" t="s">
        <v>50</v>
      </c>
      <c r="T230">
        <v>4</v>
      </c>
      <c r="U230">
        <v>2484.08</v>
      </c>
      <c r="V230">
        <v>0.05</v>
      </c>
      <c r="W230">
        <v>0.05</v>
      </c>
      <c r="X230">
        <v>9439.5</v>
      </c>
      <c r="Y230">
        <f t="shared" si="24"/>
        <v>9439.5</v>
      </c>
      <c r="Z230">
        <v>5519.39</v>
      </c>
      <c r="AA230">
        <v>3920.11</v>
      </c>
      <c r="AB230">
        <f t="shared" si="29"/>
        <v>3920.1099999999997</v>
      </c>
      <c r="AC230" s="8">
        <f t="shared" si="30"/>
        <v>0.41528788601091154</v>
      </c>
      <c r="AD230" t="s">
        <v>32</v>
      </c>
      <c r="AE230" t="s">
        <v>33</v>
      </c>
      <c r="AF230" t="str">
        <f t="shared" si="31"/>
        <v>Perfect Match</v>
      </c>
    </row>
    <row r="231" spans="1:32">
      <c r="A231" t="str">
        <f>IF(OR(I231&lt;0, ISTEXT(W231), ISTEXT(Y231)), "Invalid", IF(OR(B231="Conflicting Duplicate", M231="Unknown", S231="Unknown"), "Warning", "Valid"))</f>
        <v>Valid</v>
      </c>
      <c r="B231" t="str">
        <f t="shared" si="25"/>
        <v>-</v>
      </c>
      <c r="C231" t="s">
        <v>1363</v>
      </c>
      <c r="D231" s="2">
        <v>45316</v>
      </c>
      <c r="E231" t="str">
        <f t="shared" si="26"/>
        <v>January</v>
      </c>
      <c r="F231">
        <f t="shared" si="27"/>
        <v>2024</v>
      </c>
      <c r="G231" s="2">
        <v>45318</v>
      </c>
      <c r="H231" t="s">
        <v>1364</v>
      </c>
      <c r="I231">
        <f t="shared" si="28"/>
        <v>2</v>
      </c>
      <c r="J231" t="s">
        <v>2795</v>
      </c>
      <c r="K231" t="s">
        <v>128</v>
      </c>
      <c r="L231" t="s">
        <v>90</v>
      </c>
      <c r="M231" t="s">
        <v>54</v>
      </c>
      <c r="N231" t="s">
        <v>175</v>
      </c>
      <c r="O231" t="s">
        <v>176</v>
      </c>
      <c r="P231" t="s">
        <v>28</v>
      </c>
      <c r="Q231" t="s">
        <v>124</v>
      </c>
      <c r="R231" t="s">
        <v>1365</v>
      </c>
      <c r="S231" t="s">
        <v>44</v>
      </c>
      <c r="T231">
        <v>7</v>
      </c>
      <c r="U231">
        <v>1727.26</v>
      </c>
      <c r="V231">
        <v>0.15</v>
      </c>
      <c r="W231">
        <v>0.15</v>
      </c>
      <c r="X231">
        <v>10277.200000000001</v>
      </c>
      <c r="Y231">
        <f t="shared" si="24"/>
        <v>10277.200000000001</v>
      </c>
      <c r="Z231">
        <v>7906.5</v>
      </c>
      <c r="AA231">
        <v>2370.6999999999998</v>
      </c>
      <c r="AB231">
        <f t="shared" si="29"/>
        <v>2370.7000000000007</v>
      </c>
      <c r="AC231" s="8">
        <f t="shared" si="30"/>
        <v>0.23067567041606668</v>
      </c>
      <c r="AD231" t="s">
        <v>32</v>
      </c>
      <c r="AE231" t="s">
        <v>103</v>
      </c>
      <c r="AF231" t="str">
        <f t="shared" si="31"/>
        <v>Perfect Match</v>
      </c>
    </row>
    <row r="232" spans="1:32">
      <c r="A232" t="str">
        <f>IF(OR(I232&lt;0, ISTEXT(W232), ISTEXT(Y232)), "Invalid", IF(OR(B232="Conflicting Duplicate", M232="Unknown", S232="Unknown"), "Warning", "Valid"))</f>
        <v>Valid</v>
      </c>
      <c r="B232" t="str">
        <f t="shared" si="25"/>
        <v>-</v>
      </c>
      <c r="C232" t="s">
        <v>1372</v>
      </c>
      <c r="D232" s="2">
        <v>45605</v>
      </c>
      <c r="E232" t="str">
        <f t="shared" si="26"/>
        <v>November</v>
      </c>
      <c r="F232">
        <f t="shared" si="27"/>
        <v>2024</v>
      </c>
      <c r="G232" s="2">
        <v>45613</v>
      </c>
      <c r="H232" t="s">
        <v>1373</v>
      </c>
      <c r="I232">
        <f t="shared" si="28"/>
        <v>8</v>
      </c>
      <c r="J232" t="s">
        <v>2795</v>
      </c>
      <c r="K232" t="s">
        <v>132</v>
      </c>
      <c r="L232" t="s">
        <v>90</v>
      </c>
      <c r="M232" t="s">
        <v>38</v>
      </c>
      <c r="N232" t="s">
        <v>39</v>
      </c>
      <c r="O232" t="s">
        <v>40</v>
      </c>
      <c r="P232" t="s">
        <v>74</v>
      </c>
      <c r="Q232" t="s">
        <v>80</v>
      </c>
      <c r="R232" t="s">
        <v>1374</v>
      </c>
      <c r="S232" t="s">
        <v>59</v>
      </c>
      <c r="T232">
        <v>6</v>
      </c>
      <c r="U232">
        <v>3660.4</v>
      </c>
      <c r="V232">
        <v>0</v>
      </c>
      <c r="W232">
        <v>0</v>
      </c>
      <c r="X232">
        <v>21962.400000000001</v>
      </c>
      <c r="Y232">
        <f t="shared" si="24"/>
        <v>21962.400000000001</v>
      </c>
      <c r="Z232">
        <v>15331.99</v>
      </c>
      <c r="AA232">
        <v>6630.41</v>
      </c>
      <c r="AB232">
        <f t="shared" si="29"/>
        <v>6630.4100000000017</v>
      </c>
      <c r="AC232" s="8">
        <f t="shared" si="30"/>
        <v>0.3018982442720286</v>
      </c>
      <c r="AD232" t="s">
        <v>155</v>
      </c>
      <c r="AE232" t="s">
        <v>68</v>
      </c>
      <c r="AF232" t="str">
        <f t="shared" si="31"/>
        <v>Perfect Match</v>
      </c>
    </row>
    <row r="233" spans="1:32">
      <c r="A233" s="6" t="str">
        <f>IF(OR(I233&lt;0, ISTEXT(W233), ISTEXT(Y233)), "Invalid", IF(OR(B233="Conflicting Duplicate", M233="Unknown", S233="Unknown"), "Warning", "Valid"))</f>
        <v>Warning</v>
      </c>
      <c r="B233" t="str">
        <f t="shared" si="25"/>
        <v>Conflicting Duplicate</v>
      </c>
      <c r="C233" t="s">
        <v>1387</v>
      </c>
      <c r="D233" s="2">
        <v>45342</v>
      </c>
      <c r="E233" t="str">
        <f t="shared" si="26"/>
        <v>February</v>
      </c>
      <c r="F233">
        <f t="shared" si="27"/>
        <v>2024</v>
      </c>
      <c r="G233" s="2">
        <v>45349</v>
      </c>
      <c r="H233" t="s">
        <v>1388</v>
      </c>
      <c r="I233">
        <f t="shared" si="28"/>
        <v>7</v>
      </c>
      <c r="J233" t="s">
        <v>2795</v>
      </c>
      <c r="K233" t="s">
        <v>162</v>
      </c>
      <c r="L233" t="s">
        <v>24</v>
      </c>
      <c r="M233" t="s">
        <v>54</v>
      </c>
      <c r="N233" t="s">
        <v>185</v>
      </c>
      <c r="O233" t="s">
        <v>186</v>
      </c>
      <c r="P233" t="s">
        <v>74</v>
      </c>
      <c r="Q233" t="s">
        <v>75</v>
      </c>
      <c r="R233" t="s">
        <v>1389</v>
      </c>
      <c r="S233" t="s">
        <v>50</v>
      </c>
      <c r="T233">
        <v>9</v>
      </c>
      <c r="U233">
        <v>3779.31</v>
      </c>
      <c r="V233">
        <v>0.2</v>
      </c>
      <c r="W233">
        <v>0.2</v>
      </c>
      <c r="X233">
        <v>27211.03</v>
      </c>
      <c r="Y233">
        <f t="shared" si="24"/>
        <v>27211.03</v>
      </c>
      <c r="Z233">
        <v>17940.43</v>
      </c>
      <c r="AA233">
        <v>9270.6</v>
      </c>
      <c r="AB233">
        <f t="shared" si="29"/>
        <v>9270.5999999999985</v>
      </c>
      <c r="AC233" s="8">
        <f t="shared" si="30"/>
        <v>0.34069272644218168</v>
      </c>
      <c r="AD233" t="s">
        <v>32</v>
      </c>
      <c r="AE233" t="s">
        <v>33</v>
      </c>
      <c r="AF233" t="str">
        <f t="shared" si="31"/>
        <v>Perfect Match</v>
      </c>
    </row>
    <row r="234" spans="1:32">
      <c r="A234" s="6" t="str">
        <f>IF(OR(I234&lt;0, ISTEXT(W234), ISTEXT(Y234)), "Invalid", IF(OR(B234="Conflicting Duplicate", M234="Unknown", S234="Unknown"), "Warning", "Valid"))</f>
        <v>Warning</v>
      </c>
      <c r="B234" t="str">
        <f t="shared" si="25"/>
        <v>Conflicting Duplicate</v>
      </c>
      <c r="C234" t="s">
        <v>1387</v>
      </c>
      <c r="D234" s="2">
        <v>45342</v>
      </c>
      <c r="E234" t="str">
        <f t="shared" si="26"/>
        <v>February</v>
      </c>
      <c r="F234">
        <f t="shared" si="27"/>
        <v>2024</v>
      </c>
      <c r="G234" s="2">
        <v>45349</v>
      </c>
      <c r="H234" t="s">
        <v>1388</v>
      </c>
      <c r="I234">
        <f t="shared" si="28"/>
        <v>7</v>
      </c>
      <c r="J234" t="s">
        <v>2795</v>
      </c>
      <c r="K234" t="s">
        <v>162</v>
      </c>
      <c r="L234" t="s">
        <v>24</v>
      </c>
      <c r="M234" t="s">
        <v>54</v>
      </c>
      <c r="N234" t="s">
        <v>185</v>
      </c>
      <c r="O234" t="s">
        <v>186</v>
      </c>
      <c r="P234" t="s">
        <v>74</v>
      </c>
      <c r="Q234" t="s">
        <v>75</v>
      </c>
      <c r="R234" t="s">
        <v>1389</v>
      </c>
      <c r="S234" t="s">
        <v>50</v>
      </c>
      <c r="T234">
        <v>9</v>
      </c>
      <c r="U234">
        <v>3779.31</v>
      </c>
      <c r="V234">
        <v>0.2</v>
      </c>
      <c r="W234">
        <v>0.2</v>
      </c>
      <c r="X234">
        <v>27322.9</v>
      </c>
      <c r="Y234">
        <f t="shared" si="24"/>
        <v>27211.03</v>
      </c>
      <c r="Z234">
        <v>17940.43</v>
      </c>
      <c r="AA234">
        <v>9270.6</v>
      </c>
      <c r="AB234">
        <f t="shared" si="29"/>
        <v>9270.5999999999985</v>
      </c>
      <c r="AC234" s="8">
        <f t="shared" si="30"/>
        <v>0.34069272644218168</v>
      </c>
      <c r="AD234" t="s">
        <v>32</v>
      </c>
      <c r="AE234" t="s">
        <v>103</v>
      </c>
      <c r="AF234" t="str">
        <f t="shared" si="31"/>
        <v>Mismatch Found</v>
      </c>
    </row>
    <row r="235" spans="1:32">
      <c r="A235" t="str">
        <f>IF(OR(I235&lt;0, ISTEXT(W235), ISTEXT(Y235)), "Invalid", IF(OR(B235="Conflicting Duplicate", M235="Unknown", S235="Unknown"), "Warning", "Valid"))</f>
        <v>Valid</v>
      </c>
      <c r="B235" t="str">
        <f t="shared" si="25"/>
        <v>-</v>
      </c>
      <c r="C235" t="s">
        <v>1390</v>
      </c>
      <c r="D235" s="2">
        <v>45469</v>
      </c>
      <c r="E235" t="str">
        <f t="shared" si="26"/>
        <v>June</v>
      </c>
      <c r="F235">
        <f t="shared" si="27"/>
        <v>2024</v>
      </c>
      <c r="G235" s="2">
        <v>45472</v>
      </c>
      <c r="H235" t="s">
        <v>1391</v>
      </c>
      <c r="I235">
        <f t="shared" si="28"/>
        <v>3</v>
      </c>
      <c r="J235" t="s">
        <v>2795</v>
      </c>
      <c r="K235" t="s">
        <v>79</v>
      </c>
      <c r="L235" t="s">
        <v>90</v>
      </c>
      <c r="M235" t="s">
        <v>25</v>
      </c>
      <c r="N235" t="s">
        <v>122</v>
      </c>
      <c r="O235" t="s">
        <v>123</v>
      </c>
      <c r="P235" t="s">
        <v>74</v>
      </c>
      <c r="Q235" t="s">
        <v>171</v>
      </c>
      <c r="R235" t="s">
        <v>1392</v>
      </c>
      <c r="S235" t="s">
        <v>59</v>
      </c>
      <c r="T235">
        <v>8</v>
      </c>
      <c r="U235">
        <v>804.52</v>
      </c>
      <c r="V235">
        <v>0</v>
      </c>
      <c r="W235">
        <v>0</v>
      </c>
      <c r="X235">
        <v>6436.16</v>
      </c>
      <c r="Y235">
        <f t="shared" si="24"/>
        <v>6436.16</v>
      </c>
      <c r="Z235">
        <v>4263.83</v>
      </c>
      <c r="AA235">
        <v>2172.33</v>
      </c>
      <c r="AB235">
        <f t="shared" si="29"/>
        <v>2172.33</v>
      </c>
      <c r="AC235" s="8">
        <f t="shared" si="30"/>
        <v>0.33751957689056827</v>
      </c>
      <c r="AD235" t="s">
        <v>32</v>
      </c>
      <c r="AE235" t="s">
        <v>33</v>
      </c>
      <c r="AF235" t="str">
        <f t="shared" si="31"/>
        <v>Perfect Match</v>
      </c>
    </row>
    <row r="236" spans="1:32">
      <c r="A236" t="str">
        <f>IF(OR(I236&lt;0, ISTEXT(W236), ISTEXT(Y236)), "Invalid", IF(OR(B236="Conflicting Duplicate", M236="Unknown", S236="Unknown"), "Warning", "Valid"))</f>
        <v>Valid</v>
      </c>
      <c r="B236" t="str">
        <f t="shared" si="25"/>
        <v>-</v>
      </c>
      <c r="C236" t="s">
        <v>1393</v>
      </c>
      <c r="D236" s="2">
        <v>45561</v>
      </c>
      <c r="E236" t="str">
        <f t="shared" si="26"/>
        <v>September</v>
      </c>
      <c r="F236">
        <f t="shared" si="27"/>
        <v>2024</v>
      </c>
      <c r="G236" s="2">
        <v>45562</v>
      </c>
      <c r="H236" t="s">
        <v>1394</v>
      </c>
      <c r="I236">
        <f t="shared" si="28"/>
        <v>1</v>
      </c>
      <c r="J236" t="s">
        <v>2795</v>
      </c>
      <c r="K236" t="s">
        <v>47</v>
      </c>
      <c r="L236" t="s">
        <v>95</v>
      </c>
      <c r="M236" t="s">
        <v>25</v>
      </c>
      <c r="N236" t="s">
        <v>350</v>
      </c>
      <c r="O236" t="s">
        <v>351</v>
      </c>
      <c r="P236" t="s">
        <v>28</v>
      </c>
      <c r="Q236" t="s">
        <v>91</v>
      </c>
      <c r="R236" t="s">
        <v>1395</v>
      </c>
      <c r="S236" t="s">
        <v>50</v>
      </c>
      <c r="T236">
        <v>2</v>
      </c>
      <c r="U236">
        <v>1065.69</v>
      </c>
      <c r="V236">
        <v>0.1</v>
      </c>
      <c r="W236">
        <v>0.1</v>
      </c>
      <c r="X236">
        <v>1918.24</v>
      </c>
      <c r="Y236">
        <f t="shared" si="24"/>
        <v>1918.24</v>
      </c>
      <c r="Z236">
        <v>1373.52</v>
      </c>
      <c r="AA236">
        <v>544.72</v>
      </c>
      <c r="AB236">
        <f t="shared" si="29"/>
        <v>544.72</v>
      </c>
      <c r="AC236" s="8">
        <f t="shared" si="30"/>
        <v>0.28396863791809157</v>
      </c>
      <c r="AD236" t="s">
        <v>102</v>
      </c>
      <c r="AE236" t="s">
        <v>68</v>
      </c>
      <c r="AF236" t="str">
        <f t="shared" si="31"/>
        <v>Perfect Match</v>
      </c>
    </row>
    <row r="237" spans="1:32">
      <c r="A237" s="6" t="str">
        <f>IF(OR(I237&lt;0, ISTEXT(W237), ISTEXT(Y237)), "Invalid", IF(OR(B237="Conflicting Duplicate", M237="Unknown", S237="Unknown"), "Warning", "Valid"))</f>
        <v>Invalid</v>
      </c>
      <c r="B237" t="str">
        <f t="shared" si="25"/>
        <v>-</v>
      </c>
      <c r="C237" t="s">
        <v>1396</v>
      </c>
      <c r="D237" s="2">
        <v>45473</v>
      </c>
      <c r="E237" t="str">
        <f t="shared" si="26"/>
        <v>June</v>
      </c>
      <c r="F237">
        <f t="shared" si="27"/>
        <v>2024</v>
      </c>
      <c r="G237" s="2">
        <v>45298</v>
      </c>
      <c r="H237" t="s">
        <v>1397</v>
      </c>
      <c r="I237" s="7">
        <f t="shared" si="28"/>
        <v>-175</v>
      </c>
      <c r="J237" s="7" t="s">
        <v>2802</v>
      </c>
      <c r="K237" t="s">
        <v>89</v>
      </c>
      <c r="L237" t="s">
        <v>24</v>
      </c>
      <c r="M237" t="s">
        <v>25</v>
      </c>
      <c r="N237" t="s">
        <v>236</v>
      </c>
      <c r="O237" t="s">
        <v>237</v>
      </c>
      <c r="P237" t="s">
        <v>74</v>
      </c>
      <c r="Q237" t="s">
        <v>80</v>
      </c>
      <c r="R237" t="s">
        <v>1398</v>
      </c>
      <c r="S237" t="s">
        <v>44</v>
      </c>
      <c r="T237">
        <v>8</v>
      </c>
      <c r="U237">
        <v>3756.66</v>
      </c>
      <c r="V237">
        <v>0.1</v>
      </c>
      <c r="W237">
        <v>0.1</v>
      </c>
      <c r="X237">
        <v>27047.95</v>
      </c>
      <c r="Y237">
        <f t="shared" si="24"/>
        <v>27047.95</v>
      </c>
      <c r="Z237">
        <v>18431.330000000002</v>
      </c>
      <c r="AA237">
        <v>8616.6200000000008</v>
      </c>
      <c r="AB237">
        <f t="shared" si="29"/>
        <v>8616.619999999999</v>
      </c>
      <c r="AC237" s="8">
        <f t="shared" si="30"/>
        <v>0.31856832033481275</v>
      </c>
      <c r="AD237" t="s">
        <v>32</v>
      </c>
      <c r="AE237" t="s">
        <v>33</v>
      </c>
      <c r="AF237" t="str">
        <f t="shared" si="31"/>
        <v>Perfect Match</v>
      </c>
    </row>
    <row r="238" spans="1:32">
      <c r="A238" s="6" t="str">
        <f>IF(OR(I238&lt;0, ISTEXT(W238), ISTEXT(Y238)), "Invalid", IF(OR(B238="Conflicting Duplicate", M238="Unknown", S238="Unknown"), "Warning", "Valid"))</f>
        <v>Invalid</v>
      </c>
      <c r="B238" t="str">
        <f t="shared" si="25"/>
        <v>-</v>
      </c>
      <c r="C238" t="s">
        <v>1408</v>
      </c>
      <c r="D238" s="2">
        <v>45534</v>
      </c>
      <c r="E238" t="str">
        <f t="shared" si="26"/>
        <v>August</v>
      </c>
      <c r="F238">
        <f t="shared" si="27"/>
        <v>2024</v>
      </c>
      <c r="G238" s="2">
        <v>45331</v>
      </c>
      <c r="H238" t="s">
        <v>1409</v>
      </c>
      <c r="I238" s="7">
        <f t="shared" si="28"/>
        <v>-203</v>
      </c>
      <c r="J238" s="7" t="s">
        <v>2802</v>
      </c>
      <c r="K238" t="s">
        <v>79</v>
      </c>
      <c r="L238" t="s">
        <v>37</v>
      </c>
      <c r="M238" t="s">
        <v>25</v>
      </c>
      <c r="N238" t="s">
        <v>236</v>
      </c>
      <c r="O238" t="s">
        <v>237</v>
      </c>
      <c r="P238" t="s">
        <v>28</v>
      </c>
      <c r="Q238" t="s">
        <v>29</v>
      </c>
      <c r="R238" t="s">
        <v>1410</v>
      </c>
      <c r="S238" t="s">
        <v>31</v>
      </c>
      <c r="T238">
        <v>1</v>
      </c>
      <c r="U238">
        <v>4320.84</v>
      </c>
      <c r="V238">
        <v>0.15</v>
      </c>
      <c r="W238">
        <v>0.15</v>
      </c>
      <c r="X238">
        <v>3672.71</v>
      </c>
      <c r="Y238">
        <f t="shared" si="24"/>
        <v>3672.71</v>
      </c>
      <c r="Z238">
        <v>2714.23</v>
      </c>
      <c r="AA238">
        <v>763.38</v>
      </c>
      <c r="AB238">
        <f t="shared" si="29"/>
        <v>958.48</v>
      </c>
      <c r="AC238" s="8">
        <f t="shared" si="30"/>
        <v>0.2609735045783631</v>
      </c>
      <c r="AD238" t="s">
        <v>32</v>
      </c>
      <c r="AE238" t="s">
        <v>33</v>
      </c>
      <c r="AF238" t="str">
        <f t="shared" si="31"/>
        <v>Mismatch Found</v>
      </c>
    </row>
    <row r="239" spans="1:32">
      <c r="A239" t="str">
        <f>IF(OR(I239&lt;0, ISTEXT(W239), ISTEXT(Y239)), "Invalid", IF(OR(B239="Conflicting Duplicate", M239="Unknown", S239="Unknown"), "Warning", "Valid"))</f>
        <v>Valid</v>
      </c>
      <c r="B239" t="str">
        <f t="shared" si="25"/>
        <v>-</v>
      </c>
      <c r="C239" t="s">
        <v>1411</v>
      </c>
      <c r="D239" s="2">
        <v>45332</v>
      </c>
      <c r="E239" t="str">
        <f t="shared" si="26"/>
        <v>February</v>
      </c>
      <c r="F239">
        <f t="shared" si="27"/>
        <v>2024</v>
      </c>
      <c r="G239" s="2">
        <v>45335</v>
      </c>
      <c r="H239" t="s">
        <v>1412</v>
      </c>
      <c r="I239">
        <f t="shared" si="28"/>
        <v>3</v>
      </c>
      <c r="J239" t="s">
        <v>2795</v>
      </c>
      <c r="K239" t="s">
        <v>23</v>
      </c>
      <c r="L239" t="s">
        <v>95</v>
      </c>
      <c r="M239" t="s">
        <v>63</v>
      </c>
      <c r="N239" t="s">
        <v>190</v>
      </c>
      <c r="O239" t="s">
        <v>191</v>
      </c>
      <c r="P239" t="s">
        <v>74</v>
      </c>
      <c r="Q239" t="s">
        <v>274</v>
      </c>
      <c r="R239" t="s">
        <v>1413</v>
      </c>
      <c r="S239" t="s">
        <v>44</v>
      </c>
      <c r="T239">
        <v>2</v>
      </c>
      <c r="U239">
        <v>4118.45</v>
      </c>
      <c r="V239">
        <v>0.25</v>
      </c>
      <c r="W239">
        <v>0.25</v>
      </c>
      <c r="X239">
        <v>6177.67</v>
      </c>
      <c r="Y239">
        <f t="shared" si="24"/>
        <v>6177.68</v>
      </c>
      <c r="Z239">
        <v>4520.75</v>
      </c>
      <c r="AA239">
        <v>1656.92</v>
      </c>
      <c r="AB239">
        <f t="shared" si="29"/>
        <v>1656.9300000000003</v>
      </c>
      <c r="AC239" s="8">
        <f t="shared" si="30"/>
        <v>0.26821233861255361</v>
      </c>
      <c r="AD239" t="s">
        <v>32</v>
      </c>
      <c r="AE239" t="s">
        <v>33</v>
      </c>
      <c r="AF239" t="str">
        <f t="shared" si="31"/>
        <v>Mismatch Found</v>
      </c>
    </row>
    <row r="240" spans="1:32">
      <c r="A240" s="6" t="str">
        <f>IF(OR(I240&lt;0, ISTEXT(W240), ISTEXT(Y240)), "Invalid", IF(OR(B240="Conflicting Duplicate", M240="Unknown", S240="Unknown"), "Warning", "Valid"))</f>
        <v>Invalid</v>
      </c>
      <c r="B240" t="str">
        <f t="shared" si="25"/>
        <v>-</v>
      </c>
      <c r="C240" t="s">
        <v>1414</v>
      </c>
      <c r="D240" s="2">
        <v>45533</v>
      </c>
      <c r="E240" t="str">
        <f t="shared" si="26"/>
        <v>August</v>
      </c>
      <c r="F240">
        <f t="shared" si="27"/>
        <v>2024</v>
      </c>
      <c r="G240" s="2">
        <v>45331</v>
      </c>
      <c r="H240" t="s">
        <v>1415</v>
      </c>
      <c r="I240" s="7">
        <f t="shared" si="28"/>
        <v>-202</v>
      </c>
      <c r="J240" s="7" t="s">
        <v>2802</v>
      </c>
      <c r="K240" t="s">
        <v>114</v>
      </c>
      <c r="L240" t="s">
        <v>37</v>
      </c>
      <c r="M240" t="s">
        <v>63</v>
      </c>
      <c r="N240" t="s">
        <v>64</v>
      </c>
      <c r="O240" t="s">
        <v>65</v>
      </c>
      <c r="P240" t="s">
        <v>41</v>
      </c>
      <c r="Q240" t="s">
        <v>158</v>
      </c>
      <c r="R240" t="s">
        <v>1416</v>
      </c>
      <c r="S240" t="s">
        <v>59</v>
      </c>
      <c r="T240">
        <v>6</v>
      </c>
      <c r="U240">
        <v>172.82</v>
      </c>
      <c r="V240">
        <v>0.05</v>
      </c>
      <c r="W240">
        <v>0.05</v>
      </c>
      <c r="X240">
        <v>985.07</v>
      </c>
      <c r="Y240">
        <f t="shared" si="24"/>
        <v>985.07</v>
      </c>
      <c r="Z240">
        <v>844.48</v>
      </c>
      <c r="AA240">
        <v>140.59</v>
      </c>
      <c r="AB240">
        <f t="shared" si="29"/>
        <v>140.59000000000003</v>
      </c>
      <c r="AC240" s="8">
        <f t="shared" si="30"/>
        <v>0.14272082187052698</v>
      </c>
      <c r="AD240" t="s">
        <v>32</v>
      </c>
      <c r="AE240" t="s">
        <v>33</v>
      </c>
      <c r="AF240" t="str">
        <f t="shared" si="31"/>
        <v>Perfect Match</v>
      </c>
    </row>
    <row r="241" spans="1:32">
      <c r="A241" t="str">
        <f>IF(OR(I241&lt;0, ISTEXT(W241), ISTEXT(Y241)), "Invalid", IF(OR(B241="Conflicting Duplicate", M241="Unknown", S241="Unknown"), "Warning", "Valid"))</f>
        <v>Valid</v>
      </c>
      <c r="B241" t="str">
        <f t="shared" si="25"/>
        <v>-</v>
      </c>
      <c r="C241" t="s">
        <v>1417</v>
      </c>
      <c r="D241" s="2">
        <v>45401</v>
      </c>
      <c r="E241" t="str">
        <f t="shared" si="26"/>
        <v>April</v>
      </c>
      <c r="F241">
        <f t="shared" si="27"/>
        <v>2024</v>
      </c>
      <c r="G241" s="2">
        <v>45402</v>
      </c>
      <c r="H241" t="s">
        <v>1418</v>
      </c>
      <c r="I241">
        <f t="shared" si="28"/>
        <v>1</v>
      </c>
      <c r="J241" t="s">
        <v>2795</v>
      </c>
      <c r="K241" t="s">
        <v>114</v>
      </c>
      <c r="L241" t="s">
        <v>90</v>
      </c>
      <c r="M241" t="s">
        <v>54</v>
      </c>
      <c r="N241" t="s">
        <v>185</v>
      </c>
      <c r="O241" t="s">
        <v>186</v>
      </c>
      <c r="P241" t="s">
        <v>28</v>
      </c>
      <c r="Q241" t="s">
        <v>48</v>
      </c>
      <c r="R241" t="s">
        <v>1419</v>
      </c>
      <c r="S241" t="s">
        <v>31</v>
      </c>
      <c r="T241">
        <v>4</v>
      </c>
      <c r="U241">
        <v>1540.22</v>
      </c>
      <c r="V241">
        <v>0</v>
      </c>
      <c r="W241">
        <v>0</v>
      </c>
      <c r="X241">
        <v>6160.88</v>
      </c>
      <c r="Y241">
        <f t="shared" si="24"/>
        <v>6160.88</v>
      </c>
      <c r="Z241">
        <v>4938.7</v>
      </c>
      <c r="AA241">
        <v>1222.18</v>
      </c>
      <c r="AB241">
        <f t="shared" si="29"/>
        <v>1222.1800000000003</v>
      </c>
      <c r="AC241" s="8">
        <f t="shared" si="30"/>
        <v>0.19837750451234243</v>
      </c>
      <c r="AD241" t="s">
        <v>102</v>
      </c>
      <c r="AE241" t="s">
        <v>103</v>
      </c>
      <c r="AF241" t="str">
        <f t="shared" si="31"/>
        <v>Perfect Match</v>
      </c>
    </row>
    <row r="242" spans="1:32">
      <c r="A242" t="str">
        <f>IF(OR(I242&lt;0, ISTEXT(W242), ISTEXT(Y242)), "Invalid", IF(OR(B242="Conflicting Duplicate", M242="Unknown", S242="Unknown"), "Warning", "Valid"))</f>
        <v>Valid</v>
      </c>
      <c r="B242" t="str">
        <f t="shared" si="25"/>
        <v>-</v>
      </c>
      <c r="C242" t="s">
        <v>1426</v>
      </c>
      <c r="D242" s="2">
        <v>45459</v>
      </c>
      <c r="E242" t="str">
        <f t="shared" si="26"/>
        <v>June</v>
      </c>
      <c r="F242">
        <f t="shared" si="27"/>
        <v>2024</v>
      </c>
      <c r="G242" s="2">
        <v>45464</v>
      </c>
      <c r="H242" t="s">
        <v>1427</v>
      </c>
      <c r="I242">
        <f t="shared" si="28"/>
        <v>5</v>
      </c>
      <c r="J242" t="s">
        <v>2795</v>
      </c>
      <c r="K242" t="s">
        <v>79</v>
      </c>
      <c r="L242" t="s">
        <v>24</v>
      </c>
      <c r="M242" t="s">
        <v>54</v>
      </c>
      <c r="N242" t="s">
        <v>185</v>
      </c>
      <c r="O242" t="s">
        <v>186</v>
      </c>
      <c r="P242" t="s">
        <v>41</v>
      </c>
      <c r="Q242" t="s">
        <v>57</v>
      </c>
      <c r="R242" t="s">
        <v>1428</v>
      </c>
      <c r="S242" t="s">
        <v>44</v>
      </c>
      <c r="T242">
        <v>6</v>
      </c>
      <c r="U242">
        <v>1156.78</v>
      </c>
      <c r="V242">
        <v>0.05</v>
      </c>
      <c r="W242">
        <v>0.05</v>
      </c>
      <c r="X242">
        <v>6593.65</v>
      </c>
      <c r="Y242">
        <f t="shared" si="24"/>
        <v>6593.65</v>
      </c>
      <c r="Z242">
        <v>4359.3900000000003</v>
      </c>
      <c r="AA242">
        <v>2234.2600000000002</v>
      </c>
      <c r="AB242">
        <f t="shared" si="29"/>
        <v>2234.2599999999993</v>
      </c>
      <c r="AC242" s="8">
        <f t="shared" si="30"/>
        <v>0.33885025744466257</v>
      </c>
      <c r="AD242" t="s">
        <v>32</v>
      </c>
      <c r="AE242" t="s">
        <v>103</v>
      </c>
      <c r="AF242" t="str">
        <f t="shared" si="31"/>
        <v>Perfect Match</v>
      </c>
    </row>
    <row r="243" spans="1:32">
      <c r="A243" t="str">
        <f>IF(OR(I243&lt;0, ISTEXT(W243), ISTEXT(Y243)), "Invalid", IF(OR(B243="Conflicting Duplicate", M243="Unknown", S243="Unknown"), "Warning", "Valid"))</f>
        <v>Valid</v>
      </c>
      <c r="B243" t="str">
        <f t="shared" si="25"/>
        <v>-</v>
      </c>
      <c r="C243" t="s">
        <v>1429</v>
      </c>
      <c r="D243" s="2">
        <v>45337</v>
      </c>
      <c r="E243" t="str">
        <f t="shared" si="26"/>
        <v>February</v>
      </c>
      <c r="F243">
        <f t="shared" si="27"/>
        <v>2024</v>
      </c>
      <c r="G243" s="2">
        <v>45340</v>
      </c>
      <c r="H243" t="s">
        <v>1430</v>
      </c>
      <c r="I243">
        <f t="shared" si="28"/>
        <v>3</v>
      </c>
      <c r="J243" t="s">
        <v>2795</v>
      </c>
      <c r="K243" t="s">
        <v>89</v>
      </c>
      <c r="L243" t="s">
        <v>37</v>
      </c>
      <c r="M243" t="s">
        <v>54</v>
      </c>
      <c r="N243" t="s">
        <v>185</v>
      </c>
      <c r="O243" t="s">
        <v>186</v>
      </c>
      <c r="P243" t="s">
        <v>74</v>
      </c>
      <c r="Q243" t="s">
        <v>75</v>
      </c>
      <c r="R243" t="s">
        <v>1431</v>
      </c>
      <c r="S243" t="s">
        <v>44</v>
      </c>
      <c r="T243">
        <v>8</v>
      </c>
      <c r="U243">
        <v>379.82</v>
      </c>
      <c r="V243">
        <v>0.05</v>
      </c>
      <c r="W243">
        <v>0.05</v>
      </c>
      <c r="X243">
        <v>2886.63</v>
      </c>
      <c r="Y243">
        <f t="shared" si="24"/>
        <v>2886.63</v>
      </c>
      <c r="Z243">
        <v>1588.23</v>
      </c>
      <c r="AA243">
        <v>1298.4000000000001</v>
      </c>
      <c r="AB243">
        <f t="shared" si="29"/>
        <v>1298.4000000000001</v>
      </c>
      <c r="AC243" s="8">
        <f t="shared" si="30"/>
        <v>0.44979786117375625</v>
      </c>
      <c r="AD243" t="s">
        <v>155</v>
      </c>
      <c r="AE243" t="s">
        <v>103</v>
      </c>
      <c r="AF243" t="str">
        <f t="shared" si="31"/>
        <v>Perfect Match</v>
      </c>
    </row>
    <row r="244" spans="1:32">
      <c r="A244" t="str">
        <f>IF(OR(I244&lt;0, ISTEXT(W244), ISTEXT(Y244)), "Invalid", IF(OR(B244="Conflicting Duplicate", M244="Unknown", S244="Unknown"), "Warning", "Valid"))</f>
        <v>Valid</v>
      </c>
      <c r="B244" t="str">
        <f t="shared" si="25"/>
        <v>-</v>
      </c>
      <c r="C244" t="s">
        <v>1438</v>
      </c>
      <c r="D244" s="2">
        <v>45384</v>
      </c>
      <c r="E244" t="str">
        <f t="shared" si="26"/>
        <v>April</v>
      </c>
      <c r="F244">
        <f t="shared" si="27"/>
        <v>2024</v>
      </c>
      <c r="G244" s="2">
        <v>45390</v>
      </c>
      <c r="H244" t="s">
        <v>270</v>
      </c>
      <c r="I244">
        <f t="shared" si="28"/>
        <v>6</v>
      </c>
      <c r="J244" t="s">
        <v>2795</v>
      </c>
      <c r="K244" t="s">
        <v>71</v>
      </c>
      <c r="L244" t="s">
        <v>90</v>
      </c>
      <c r="M244" t="s">
        <v>38</v>
      </c>
      <c r="N244" t="s">
        <v>39</v>
      </c>
      <c r="O244" t="s">
        <v>40</v>
      </c>
      <c r="P244" t="s">
        <v>74</v>
      </c>
      <c r="Q244" t="s">
        <v>274</v>
      </c>
      <c r="R244" t="s">
        <v>1439</v>
      </c>
      <c r="S244" t="s">
        <v>31</v>
      </c>
      <c r="T244">
        <v>6</v>
      </c>
      <c r="U244">
        <v>3722.84</v>
      </c>
      <c r="V244">
        <v>0.2</v>
      </c>
      <c r="W244">
        <v>0.2</v>
      </c>
      <c r="X244">
        <v>17869.63</v>
      </c>
      <c r="Y244">
        <f t="shared" si="24"/>
        <v>17869.63</v>
      </c>
      <c r="Z244">
        <v>12163.8</v>
      </c>
      <c r="AA244">
        <v>5705.83</v>
      </c>
      <c r="AB244">
        <f t="shared" si="29"/>
        <v>5705.8300000000017</v>
      </c>
      <c r="AC244" s="8">
        <f t="shared" si="30"/>
        <v>0.31930319765994042</v>
      </c>
      <c r="AD244" t="s">
        <v>32</v>
      </c>
      <c r="AE244" t="s">
        <v>33</v>
      </c>
      <c r="AF244" t="str">
        <f t="shared" si="31"/>
        <v>Perfect Match</v>
      </c>
    </row>
    <row r="245" spans="1:32">
      <c r="A245" t="str">
        <f>IF(OR(I245&lt;0, ISTEXT(W245), ISTEXT(Y245)), "Invalid", IF(OR(B245="Conflicting Duplicate", M245="Unknown", S245="Unknown"), "Warning", "Valid"))</f>
        <v>Valid</v>
      </c>
      <c r="B245" t="str">
        <f t="shared" si="25"/>
        <v>-</v>
      </c>
      <c r="C245" t="s">
        <v>1440</v>
      </c>
      <c r="D245" s="2">
        <v>45361</v>
      </c>
      <c r="E245" t="str">
        <f t="shared" si="26"/>
        <v>March</v>
      </c>
      <c r="F245">
        <f t="shared" si="27"/>
        <v>2024</v>
      </c>
      <c r="G245" s="2">
        <v>45568</v>
      </c>
      <c r="H245" t="s">
        <v>1441</v>
      </c>
      <c r="I245">
        <f t="shared" si="28"/>
        <v>207</v>
      </c>
      <c r="J245" t="s">
        <v>2795</v>
      </c>
      <c r="K245" t="s">
        <v>23</v>
      </c>
      <c r="L245" t="s">
        <v>24</v>
      </c>
      <c r="M245" t="s">
        <v>38</v>
      </c>
      <c r="N245" t="s">
        <v>145</v>
      </c>
      <c r="O245" t="s">
        <v>146</v>
      </c>
      <c r="P245" t="s">
        <v>41</v>
      </c>
      <c r="Q245" t="s">
        <v>158</v>
      </c>
      <c r="R245" t="s">
        <v>1442</v>
      </c>
      <c r="S245" t="s">
        <v>59</v>
      </c>
      <c r="T245">
        <v>6</v>
      </c>
      <c r="U245">
        <v>4217.49</v>
      </c>
      <c r="V245">
        <v>0</v>
      </c>
      <c r="W245">
        <v>0</v>
      </c>
      <c r="X245">
        <v>25304.94</v>
      </c>
      <c r="Y245">
        <f t="shared" si="24"/>
        <v>25304.94</v>
      </c>
      <c r="Z245">
        <v>20771.95</v>
      </c>
      <c r="AA245">
        <v>4532.99</v>
      </c>
      <c r="AB245">
        <f t="shared" si="29"/>
        <v>4532.989999999998</v>
      </c>
      <c r="AC245" s="8">
        <f t="shared" si="30"/>
        <v>0.17913458795002077</v>
      </c>
      <c r="AD245" t="s">
        <v>32</v>
      </c>
      <c r="AE245" t="s">
        <v>68</v>
      </c>
      <c r="AF245" t="str">
        <f t="shared" si="31"/>
        <v>Perfect Match</v>
      </c>
    </row>
    <row r="246" spans="1:32">
      <c r="A246" t="str">
        <f>IF(OR(I246&lt;0, ISTEXT(W246), ISTEXT(Y246)), "Invalid", IF(OR(B246="Conflicting Duplicate", M246="Unknown", S246="Unknown"), "Warning", "Valid"))</f>
        <v>Valid</v>
      </c>
      <c r="B246" t="str">
        <f t="shared" si="25"/>
        <v>-</v>
      </c>
      <c r="C246" t="s">
        <v>1446</v>
      </c>
      <c r="D246" s="2">
        <v>45386</v>
      </c>
      <c r="E246" t="str">
        <f t="shared" si="26"/>
        <v>April</v>
      </c>
      <c r="F246">
        <f t="shared" si="27"/>
        <v>2024</v>
      </c>
      <c r="G246" s="2">
        <v>45389</v>
      </c>
      <c r="H246" t="s">
        <v>1447</v>
      </c>
      <c r="I246">
        <f t="shared" si="28"/>
        <v>3</v>
      </c>
      <c r="J246" t="s">
        <v>2795</v>
      </c>
      <c r="K246" t="s">
        <v>141</v>
      </c>
      <c r="L246" t="s">
        <v>95</v>
      </c>
      <c r="M246" t="s">
        <v>38</v>
      </c>
      <c r="N246" t="s">
        <v>39</v>
      </c>
      <c r="O246" t="s">
        <v>40</v>
      </c>
      <c r="P246" t="s">
        <v>41</v>
      </c>
      <c r="Q246" t="s">
        <v>57</v>
      </c>
      <c r="R246" t="s">
        <v>1448</v>
      </c>
      <c r="S246" t="s">
        <v>50</v>
      </c>
      <c r="T246">
        <v>1</v>
      </c>
      <c r="U246">
        <v>3683.75</v>
      </c>
      <c r="V246">
        <v>0.1</v>
      </c>
      <c r="W246">
        <v>0.1</v>
      </c>
      <c r="X246">
        <v>3315.38</v>
      </c>
      <c r="Y246">
        <f t="shared" si="24"/>
        <v>3315.38</v>
      </c>
      <c r="Z246">
        <v>2347.6799999999998</v>
      </c>
      <c r="AA246">
        <v>967.7</v>
      </c>
      <c r="AB246">
        <f t="shared" si="29"/>
        <v>967.70000000000027</v>
      </c>
      <c r="AC246" s="8">
        <f t="shared" si="30"/>
        <v>0.29188207686600037</v>
      </c>
      <c r="AD246" t="s">
        <v>32</v>
      </c>
      <c r="AE246" t="s">
        <v>33</v>
      </c>
      <c r="AF246" t="str">
        <f t="shared" si="31"/>
        <v>Perfect Match</v>
      </c>
    </row>
    <row r="247" spans="1:32">
      <c r="A247" s="6" t="str">
        <f>IF(OR(I247&lt;0, ISTEXT(W247), ISTEXT(Y247)), "Invalid", IF(OR(B247="Conflicting Duplicate", M247="Unknown", S247="Unknown"), "Warning", "Valid"))</f>
        <v>Invalid</v>
      </c>
      <c r="B247" t="str">
        <f t="shared" si="25"/>
        <v>-</v>
      </c>
      <c r="C247" t="s">
        <v>1452</v>
      </c>
      <c r="D247" s="2">
        <v>45421</v>
      </c>
      <c r="E247" t="str">
        <f t="shared" si="26"/>
        <v>May</v>
      </c>
      <c r="F247">
        <f t="shared" si="27"/>
        <v>2024</v>
      </c>
      <c r="G247" s="2">
        <v>45417</v>
      </c>
      <c r="H247" t="s">
        <v>1453</v>
      </c>
      <c r="I247" s="7">
        <f t="shared" si="28"/>
        <v>-4</v>
      </c>
      <c r="J247" s="7" t="s">
        <v>2802</v>
      </c>
      <c r="K247" t="s">
        <v>53</v>
      </c>
      <c r="L247" t="s">
        <v>24</v>
      </c>
      <c r="M247" t="s">
        <v>38</v>
      </c>
      <c r="N247" t="s">
        <v>166</v>
      </c>
      <c r="O247" t="s">
        <v>167</v>
      </c>
      <c r="P247" t="s">
        <v>41</v>
      </c>
      <c r="Q247" t="s">
        <v>158</v>
      </c>
      <c r="R247" t="s">
        <v>1454</v>
      </c>
      <c r="S247" t="s">
        <v>44</v>
      </c>
      <c r="T247">
        <v>2</v>
      </c>
      <c r="U247">
        <v>2111.23</v>
      </c>
      <c r="V247">
        <v>0.2</v>
      </c>
      <c r="W247">
        <v>0.2</v>
      </c>
      <c r="X247">
        <v>3377.97</v>
      </c>
      <c r="Y247">
        <f t="shared" si="24"/>
        <v>3377.97</v>
      </c>
      <c r="Z247">
        <v>2496.29</v>
      </c>
      <c r="AA247">
        <v>881.68</v>
      </c>
      <c r="AB247">
        <f t="shared" si="29"/>
        <v>881.67999999999984</v>
      </c>
      <c r="AC247" s="8">
        <f t="shared" si="30"/>
        <v>0.26100883074746073</v>
      </c>
      <c r="AD247" t="s">
        <v>32</v>
      </c>
      <c r="AE247" t="s">
        <v>33</v>
      </c>
      <c r="AF247" t="str">
        <f t="shared" si="31"/>
        <v>Perfect Match</v>
      </c>
    </row>
    <row r="248" spans="1:32">
      <c r="A248" t="str">
        <f>IF(OR(I248&lt;0, ISTEXT(W248), ISTEXT(Y248)), "Invalid", IF(OR(B248="Conflicting Duplicate", M248="Unknown", S248="Unknown"), "Warning", "Valid"))</f>
        <v>Valid</v>
      </c>
      <c r="B248" t="str">
        <f t="shared" si="25"/>
        <v>-</v>
      </c>
      <c r="C248" t="s">
        <v>1461</v>
      </c>
      <c r="D248" s="2">
        <v>45306</v>
      </c>
      <c r="E248" t="str">
        <f t="shared" si="26"/>
        <v>January</v>
      </c>
      <c r="F248">
        <f t="shared" si="27"/>
        <v>2024</v>
      </c>
      <c r="G248" s="2">
        <v>45309</v>
      </c>
      <c r="H248" t="s">
        <v>1462</v>
      </c>
      <c r="I248">
        <f t="shared" si="28"/>
        <v>3</v>
      </c>
      <c r="J248" t="s">
        <v>2795</v>
      </c>
      <c r="K248" t="s">
        <v>36</v>
      </c>
      <c r="L248" t="s">
        <v>37</v>
      </c>
      <c r="M248" t="s">
        <v>54</v>
      </c>
      <c r="N248" t="s">
        <v>84</v>
      </c>
      <c r="O248" t="s">
        <v>85</v>
      </c>
      <c r="P248" t="s">
        <v>41</v>
      </c>
      <c r="Q248" t="s">
        <v>66</v>
      </c>
      <c r="R248" t="s">
        <v>1463</v>
      </c>
      <c r="S248" t="s">
        <v>50</v>
      </c>
      <c r="T248">
        <v>2</v>
      </c>
      <c r="U248">
        <v>201.21</v>
      </c>
      <c r="V248">
        <v>0.15</v>
      </c>
      <c r="W248">
        <v>0.15</v>
      </c>
      <c r="X248">
        <v>342.06</v>
      </c>
      <c r="Y248">
        <f t="shared" si="24"/>
        <v>342.06</v>
      </c>
      <c r="Z248">
        <v>244.57</v>
      </c>
      <c r="AA248">
        <v>97.49</v>
      </c>
      <c r="AB248">
        <f t="shared" si="29"/>
        <v>97.490000000000009</v>
      </c>
      <c r="AC248" s="8">
        <f t="shared" si="30"/>
        <v>0.28500847804478752</v>
      </c>
      <c r="AD248" t="s">
        <v>32</v>
      </c>
      <c r="AE248" t="s">
        <v>33</v>
      </c>
      <c r="AF248" t="str">
        <f t="shared" si="31"/>
        <v>Perfect Match</v>
      </c>
    </row>
    <row r="249" spans="1:32">
      <c r="A249" t="str">
        <f>IF(OR(I249&lt;0, ISTEXT(W249), ISTEXT(Y249)), "Invalid", IF(OR(B249="Conflicting Duplicate", M249="Unknown", S249="Unknown"), "Warning", "Valid"))</f>
        <v>Valid</v>
      </c>
      <c r="B249" t="str">
        <f t="shared" si="25"/>
        <v>-</v>
      </c>
      <c r="C249" t="s">
        <v>1464</v>
      </c>
      <c r="D249" s="2">
        <v>45449</v>
      </c>
      <c r="E249" t="str">
        <f t="shared" si="26"/>
        <v>June</v>
      </c>
      <c r="F249">
        <f t="shared" si="27"/>
        <v>2024</v>
      </c>
      <c r="G249" s="2">
        <v>45456</v>
      </c>
      <c r="H249" t="s">
        <v>1358</v>
      </c>
      <c r="I249">
        <f t="shared" si="28"/>
        <v>7</v>
      </c>
      <c r="J249" t="s">
        <v>2795</v>
      </c>
      <c r="K249" t="s">
        <v>89</v>
      </c>
      <c r="L249" t="s">
        <v>90</v>
      </c>
      <c r="M249" t="s">
        <v>38</v>
      </c>
      <c r="N249" t="s">
        <v>166</v>
      </c>
      <c r="O249" t="s">
        <v>167</v>
      </c>
      <c r="P249" t="s">
        <v>74</v>
      </c>
      <c r="Q249" t="s">
        <v>274</v>
      </c>
      <c r="R249" t="s">
        <v>1465</v>
      </c>
      <c r="S249" t="s">
        <v>31</v>
      </c>
      <c r="T249">
        <v>6</v>
      </c>
      <c r="U249">
        <v>3270.36</v>
      </c>
      <c r="V249">
        <v>0</v>
      </c>
      <c r="W249">
        <v>0</v>
      </c>
      <c r="X249">
        <v>19622.16</v>
      </c>
      <c r="Y249">
        <f t="shared" si="24"/>
        <v>19622.16</v>
      </c>
      <c r="Z249">
        <v>14271.27</v>
      </c>
      <c r="AA249">
        <v>5350.89</v>
      </c>
      <c r="AB249">
        <f t="shared" si="29"/>
        <v>5350.8899999999994</v>
      </c>
      <c r="AC249" s="8">
        <f t="shared" si="30"/>
        <v>0.27269627808559299</v>
      </c>
      <c r="AD249" t="s">
        <v>32</v>
      </c>
      <c r="AE249" t="s">
        <v>33</v>
      </c>
      <c r="AF249" t="str">
        <f t="shared" si="31"/>
        <v>Perfect Match</v>
      </c>
    </row>
    <row r="250" spans="1:32">
      <c r="A250" t="str">
        <f>IF(OR(I250&lt;0, ISTEXT(W250), ISTEXT(Y250)), "Invalid", IF(OR(B250="Conflicting Duplicate", M250="Unknown", S250="Unknown"), "Warning", "Valid"))</f>
        <v>Valid</v>
      </c>
      <c r="B250" t="str">
        <f t="shared" si="25"/>
        <v>-</v>
      </c>
      <c r="C250" t="s">
        <v>1469</v>
      </c>
      <c r="D250" s="2">
        <v>45375</v>
      </c>
      <c r="E250" t="str">
        <f t="shared" si="26"/>
        <v>March</v>
      </c>
      <c r="F250">
        <f t="shared" si="27"/>
        <v>2024</v>
      </c>
      <c r="G250" s="2">
        <v>45377</v>
      </c>
      <c r="H250" t="s">
        <v>1470</v>
      </c>
      <c r="I250">
        <f t="shared" si="28"/>
        <v>2</v>
      </c>
      <c r="J250" t="s">
        <v>2795</v>
      </c>
      <c r="K250" t="s">
        <v>141</v>
      </c>
      <c r="L250" t="s">
        <v>37</v>
      </c>
      <c r="M250" t="s">
        <v>25</v>
      </c>
      <c r="N250" t="s">
        <v>236</v>
      </c>
      <c r="O250" t="s">
        <v>237</v>
      </c>
      <c r="P250" t="s">
        <v>28</v>
      </c>
      <c r="Q250" t="s">
        <v>29</v>
      </c>
      <c r="R250" t="s">
        <v>1471</v>
      </c>
      <c r="S250" t="s">
        <v>31</v>
      </c>
      <c r="T250">
        <v>8</v>
      </c>
      <c r="U250">
        <v>1917.64</v>
      </c>
      <c r="V250">
        <v>0.15</v>
      </c>
      <c r="W250">
        <v>0.15</v>
      </c>
      <c r="X250">
        <v>13039.95</v>
      </c>
      <c r="Y250">
        <f t="shared" si="24"/>
        <v>13039.95</v>
      </c>
      <c r="Z250">
        <v>11127.82</v>
      </c>
      <c r="AA250">
        <v>1912.13</v>
      </c>
      <c r="AB250">
        <f t="shared" si="29"/>
        <v>1912.130000000001</v>
      </c>
      <c r="AC250" s="8">
        <f t="shared" si="30"/>
        <v>0.14663629845206469</v>
      </c>
      <c r="AD250" t="s">
        <v>32</v>
      </c>
      <c r="AE250" t="s">
        <v>68</v>
      </c>
      <c r="AF250" t="str">
        <f t="shared" si="31"/>
        <v>Perfect Match</v>
      </c>
    </row>
    <row r="251" spans="1:32">
      <c r="A251" s="6" t="str">
        <f>IF(OR(I251&lt;0, ISTEXT(W251), ISTEXT(Y251)), "Invalid", IF(OR(B251="Conflicting Duplicate", M251="Unknown", S251="Unknown"), "Warning", "Valid"))</f>
        <v>Invalid</v>
      </c>
      <c r="B251" t="str">
        <f t="shared" si="25"/>
        <v>-</v>
      </c>
      <c r="C251" t="s">
        <v>1472</v>
      </c>
      <c r="D251" s="2">
        <v>45570</v>
      </c>
      <c r="E251" t="str">
        <f t="shared" si="26"/>
        <v>October</v>
      </c>
      <c r="F251">
        <f t="shared" si="27"/>
        <v>2024</v>
      </c>
      <c r="G251" s="2">
        <v>45428</v>
      </c>
      <c r="H251" t="s">
        <v>1473</v>
      </c>
      <c r="I251" s="7">
        <f t="shared" si="28"/>
        <v>-142</v>
      </c>
      <c r="J251" s="7" t="s">
        <v>2802</v>
      </c>
      <c r="K251" t="s">
        <v>162</v>
      </c>
      <c r="L251" t="s">
        <v>95</v>
      </c>
      <c r="M251" t="s">
        <v>38</v>
      </c>
      <c r="N251" t="s">
        <v>228</v>
      </c>
      <c r="O251" t="s">
        <v>229</v>
      </c>
      <c r="P251" t="s">
        <v>74</v>
      </c>
      <c r="Q251" t="s">
        <v>75</v>
      </c>
      <c r="R251" t="s">
        <v>1474</v>
      </c>
      <c r="S251" t="s">
        <v>31</v>
      </c>
      <c r="T251">
        <v>6</v>
      </c>
      <c r="U251">
        <v>2013.33</v>
      </c>
      <c r="V251">
        <v>0.2</v>
      </c>
      <c r="W251">
        <v>0.2</v>
      </c>
      <c r="X251">
        <v>9663.98</v>
      </c>
      <c r="Y251">
        <f t="shared" si="24"/>
        <v>9663.98</v>
      </c>
      <c r="Z251">
        <v>5628.93</v>
      </c>
      <c r="AA251">
        <v>4035.05</v>
      </c>
      <c r="AB251">
        <f t="shared" si="29"/>
        <v>4035.0499999999993</v>
      </c>
      <c r="AC251" s="8">
        <f t="shared" si="30"/>
        <v>0.41753501145490773</v>
      </c>
      <c r="AD251" t="s">
        <v>32</v>
      </c>
      <c r="AE251" t="s">
        <v>33</v>
      </c>
      <c r="AF251" t="str">
        <f t="shared" si="31"/>
        <v>Perfect Match</v>
      </c>
    </row>
    <row r="252" spans="1:32">
      <c r="A252" t="str">
        <f>IF(OR(I252&lt;0, ISTEXT(W252), ISTEXT(Y252)), "Invalid", IF(OR(B252="Conflicting Duplicate", M252="Unknown", S252="Unknown"), "Warning", "Valid"))</f>
        <v>Valid</v>
      </c>
      <c r="B252" t="str">
        <f t="shared" si="25"/>
        <v>-</v>
      </c>
      <c r="C252" t="s">
        <v>1481</v>
      </c>
      <c r="D252" s="2">
        <v>45491</v>
      </c>
      <c r="E252" t="str">
        <f t="shared" si="26"/>
        <v>July</v>
      </c>
      <c r="F252">
        <f t="shared" si="27"/>
        <v>2024</v>
      </c>
      <c r="G252" s="2">
        <v>45495</v>
      </c>
      <c r="H252" t="s">
        <v>1482</v>
      </c>
      <c r="I252">
        <f t="shared" si="28"/>
        <v>4</v>
      </c>
      <c r="J252" t="s">
        <v>2795</v>
      </c>
      <c r="K252" t="s">
        <v>79</v>
      </c>
      <c r="L252" t="s">
        <v>37</v>
      </c>
      <c r="M252" t="s">
        <v>54</v>
      </c>
      <c r="N252" t="s">
        <v>55</v>
      </c>
      <c r="O252" t="s">
        <v>56</v>
      </c>
      <c r="P252" t="s">
        <v>28</v>
      </c>
      <c r="Q252" t="s">
        <v>48</v>
      </c>
      <c r="R252" t="s">
        <v>1483</v>
      </c>
      <c r="S252" t="s">
        <v>59</v>
      </c>
      <c r="T252">
        <v>4</v>
      </c>
      <c r="U252">
        <v>808.77</v>
      </c>
      <c r="V252">
        <v>0</v>
      </c>
      <c r="W252">
        <v>0</v>
      </c>
      <c r="X252">
        <v>3235.08</v>
      </c>
      <c r="Y252">
        <f t="shared" si="24"/>
        <v>3235.08</v>
      </c>
      <c r="Z252">
        <v>1848.6</v>
      </c>
      <c r="AA252">
        <v>1386.48</v>
      </c>
      <c r="AB252">
        <f t="shared" si="29"/>
        <v>1386.48</v>
      </c>
      <c r="AC252" s="8">
        <f t="shared" si="30"/>
        <v>0.42857672762342819</v>
      </c>
      <c r="AD252" t="s">
        <v>32</v>
      </c>
      <c r="AE252" t="s">
        <v>33</v>
      </c>
      <c r="AF252" t="str">
        <f t="shared" si="31"/>
        <v>Perfect Match</v>
      </c>
    </row>
    <row r="253" spans="1:32">
      <c r="A253" t="str">
        <f>IF(OR(I253&lt;0, ISTEXT(W253), ISTEXT(Y253)), "Invalid", IF(OR(B253="Conflicting Duplicate", M253="Unknown", S253="Unknown"), "Warning", "Valid"))</f>
        <v>Valid</v>
      </c>
      <c r="B253" t="str">
        <f t="shared" si="25"/>
        <v>-</v>
      </c>
      <c r="C253" t="s">
        <v>1484</v>
      </c>
      <c r="D253" s="2">
        <v>45342</v>
      </c>
      <c r="E253" t="str">
        <f t="shared" si="26"/>
        <v>February</v>
      </c>
      <c r="F253">
        <f t="shared" si="27"/>
        <v>2024</v>
      </c>
      <c r="G253" s="2">
        <v>45342</v>
      </c>
      <c r="H253" t="s">
        <v>1485</v>
      </c>
      <c r="I253">
        <f t="shared" si="28"/>
        <v>0</v>
      </c>
      <c r="J253" t="s">
        <v>2795</v>
      </c>
      <c r="K253" t="s">
        <v>79</v>
      </c>
      <c r="L253" t="s">
        <v>90</v>
      </c>
      <c r="M253" t="s">
        <v>25</v>
      </c>
      <c r="N253" t="s">
        <v>136</v>
      </c>
      <c r="O253" t="s">
        <v>137</v>
      </c>
      <c r="P253" t="s">
        <v>74</v>
      </c>
      <c r="Q253" t="s">
        <v>75</v>
      </c>
      <c r="R253" t="s">
        <v>1486</v>
      </c>
      <c r="S253" t="s">
        <v>44</v>
      </c>
      <c r="T253">
        <v>5</v>
      </c>
      <c r="U253">
        <v>2604.91</v>
      </c>
      <c r="V253">
        <v>0.15</v>
      </c>
      <c r="W253">
        <v>0.15</v>
      </c>
      <c r="X253">
        <v>11070.87</v>
      </c>
      <c r="Y253">
        <f t="shared" si="24"/>
        <v>11070.87</v>
      </c>
      <c r="Z253">
        <v>6623.61</v>
      </c>
      <c r="AA253">
        <v>4447.26</v>
      </c>
      <c r="AB253">
        <f t="shared" si="29"/>
        <v>4447.2600000000011</v>
      </c>
      <c r="AC253" s="8">
        <f t="shared" si="30"/>
        <v>0.40170826682997818</v>
      </c>
      <c r="AD253" t="s">
        <v>32</v>
      </c>
      <c r="AE253" t="s">
        <v>103</v>
      </c>
      <c r="AF253" t="str">
        <f t="shared" si="31"/>
        <v>Perfect Match</v>
      </c>
    </row>
    <row r="254" spans="1:32">
      <c r="A254" t="str">
        <f>IF(OR(I254&lt;0, ISTEXT(W254), ISTEXT(Y254)), "Invalid", IF(OR(B254="Conflicting Duplicate", M254="Unknown", S254="Unknown"), "Warning", "Valid"))</f>
        <v>Valid</v>
      </c>
      <c r="B254" t="str">
        <f t="shared" si="25"/>
        <v>-</v>
      </c>
      <c r="C254" t="s">
        <v>1487</v>
      </c>
      <c r="D254" s="2">
        <v>45416</v>
      </c>
      <c r="E254" t="str">
        <f t="shared" si="26"/>
        <v>May</v>
      </c>
      <c r="F254">
        <f t="shared" si="27"/>
        <v>2024</v>
      </c>
      <c r="G254" s="2">
        <v>45416</v>
      </c>
      <c r="H254" t="s">
        <v>1488</v>
      </c>
      <c r="I254">
        <f t="shared" si="28"/>
        <v>0</v>
      </c>
      <c r="J254" t="s">
        <v>2795</v>
      </c>
      <c r="K254" t="s">
        <v>36</v>
      </c>
      <c r="L254" t="s">
        <v>37</v>
      </c>
      <c r="M254" t="s">
        <v>63</v>
      </c>
      <c r="N254" t="s">
        <v>190</v>
      </c>
      <c r="O254" t="s">
        <v>191</v>
      </c>
      <c r="P254" t="s">
        <v>41</v>
      </c>
      <c r="Q254" t="s">
        <v>42</v>
      </c>
      <c r="R254" t="s">
        <v>1489</v>
      </c>
      <c r="S254" t="s">
        <v>59</v>
      </c>
      <c r="T254">
        <v>7</v>
      </c>
      <c r="U254">
        <v>2851.51</v>
      </c>
      <c r="V254">
        <v>0</v>
      </c>
      <c r="W254">
        <v>0</v>
      </c>
      <c r="X254">
        <v>19960.57</v>
      </c>
      <c r="Y254">
        <f t="shared" si="24"/>
        <v>19960.57</v>
      </c>
      <c r="Z254">
        <v>16603.599999999999</v>
      </c>
      <c r="AA254">
        <v>3356.97</v>
      </c>
      <c r="AB254">
        <f t="shared" si="29"/>
        <v>3356.9700000000012</v>
      </c>
      <c r="AC254" s="8">
        <f t="shared" si="30"/>
        <v>0.1681800670020947</v>
      </c>
      <c r="AD254" t="s">
        <v>32</v>
      </c>
      <c r="AE254" t="s">
        <v>33</v>
      </c>
      <c r="AF254" t="str">
        <f t="shared" si="31"/>
        <v>Perfect Match</v>
      </c>
    </row>
    <row r="255" spans="1:32">
      <c r="A255" t="str">
        <f>IF(OR(I255&lt;0, ISTEXT(W255), ISTEXT(Y255)), "Invalid", IF(OR(B255="Conflicting Duplicate", M255="Unknown", S255="Unknown"), "Warning", "Valid"))</f>
        <v>Valid</v>
      </c>
      <c r="B255" t="str">
        <f t="shared" si="25"/>
        <v>-</v>
      </c>
      <c r="C255" t="s">
        <v>1490</v>
      </c>
      <c r="D255" s="2">
        <v>45332</v>
      </c>
      <c r="E255" t="str">
        <f t="shared" si="26"/>
        <v>February</v>
      </c>
      <c r="F255">
        <f t="shared" si="27"/>
        <v>2024</v>
      </c>
      <c r="G255" s="2">
        <v>45333</v>
      </c>
      <c r="H255" t="s">
        <v>1491</v>
      </c>
      <c r="I255">
        <f t="shared" si="28"/>
        <v>1</v>
      </c>
      <c r="J255" t="s">
        <v>2795</v>
      </c>
      <c r="K255" t="s">
        <v>23</v>
      </c>
      <c r="L255" t="s">
        <v>90</v>
      </c>
      <c r="M255" t="s">
        <v>25</v>
      </c>
      <c r="N255" t="s">
        <v>26</v>
      </c>
      <c r="O255" t="s">
        <v>27</v>
      </c>
      <c r="P255" t="s">
        <v>74</v>
      </c>
      <c r="Q255" t="s">
        <v>171</v>
      </c>
      <c r="R255" t="s">
        <v>1492</v>
      </c>
      <c r="S255" t="s">
        <v>31</v>
      </c>
      <c r="T255">
        <v>3</v>
      </c>
      <c r="U255">
        <v>3183.72</v>
      </c>
      <c r="V255">
        <v>0.1</v>
      </c>
      <c r="W255">
        <v>0.1</v>
      </c>
      <c r="X255">
        <v>8596.0400000000009</v>
      </c>
      <c r="Y255">
        <f t="shared" si="24"/>
        <v>8596.0400000000009</v>
      </c>
      <c r="Z255">
        <v>5378.16</v>
      </c>
      <c r="AA255">
        <v>3217.88</v>
      </c>
      <c r="AB255">
        <f t="shared" si="29"/>
        <v>3217.880000000001</v>
      </c>
      <c r="AC255" s="8">
        <f t="shared" si="30"/>
        <v>0.37434446559113277</v>
      </c>
      <c r="AD255" t="s">
        <v>32</v>
      </c>
      <c r="AE255" t="s">
        <v>33</v>
      </c>
      <c r="AF255" t="str">
        <f t="shared" si="31"/>
        <v>Perfect Match</v>
      </c>
    </row>
    <row r="256" spans="1:32">
      <c r="A256" t="str">
        <f>IF(OR(I256&lt;0, ISTEXT(W256), ISTEXT(Y256)), "Invalid", IF(OR(B256="Conflicting Duplicate", M256="Unknown", S256="Unknown"), "Warning", "Valid"))</f>
        <v>Valid</v>
      </c>
      <c r="B256" t="str">
        <f t="shared" si="25"/>
        <v>-</v>
      </c>
      <c r="C256" t="s">
        <v>1493</v>
      </c>
      <c r="D256" s="2">
        <v>45379</v>
      </c>
      <c r="E256" t="str">
        <f t="shared" si="26"/>
        <v>March</v>
      </c>
      <c r="F256">
        <f t="shared" si="27"/>
        <v>2024</v>
      </c>
      <c r="G256" s="2">
        <v>45386</v>
      </c>
      <c r="H256" t="s">
        <v>1494</v>
      </c>
      <c r="I256">
        <f t="shared" si="28"/>
        <v>7</v>
      </c>
      <c r="J256" t="s">
        <v>2795</v>
      </c>
      <c r="K256" t="s">
        <v>62</v>
      </c>
      <c r="L256" t="s">
        <v>95</v>
      </c>
      <c r="M256" t="s">
        <v>63</v>
      </c>
      <c r="N256" t="s">
        <v>190</v>
      </c>
      <c r="O256" t="s">
        <v>191</v>
      </c>
      <c r="P256" t="s">
        <v>28</v>
      </c>
      <c r="Q256" t="s">
        <v>29</v>
      </c>
      <c r="R256" t="s">
        <v>1495</v>
      </c>
      <c r="S256" t="s">
        <v>50</v>
      </c>
      <c r="T256">
        <v>3</v>
      </c>
      <c r="U256">
        <v>1150.92</v>
      </c>
      <c r="V256">
        <v>0</v>
      </c>
      <c r="W256">
        <v>0</v>
      </c>
      <c r="X256">
        <v>3452.76</v>
      </c>
      <c r="Y256">
        <f t="shared" si="24"/>
        <v>3452.76</v>
      </c>
      <c r="Z256">
        <v>2077.96</v>
      </c>
      <c r="AA256">
        <v>1374.8</v>
      </c>
      <c r="AB256">
        <f t="shared" si="29"/>
        <v>1374.8000000000002</v>
      </c>
      <c r="AC256" s="8">
        <f t="shared" si="30"/>
        <v>0.39817421425178701</v>
      </c>
      <c r="AD256" t="s">
        <v>32</v>
      </c>
      <c r="AE256" t="s">
        <v>33</v>
      </c>
      <c r="AF256" t="str">
        <f t="shared" si="31"/>
        <v>Perfect Match</v>
      </c>
    </row>
    <row r="257" spans="1:32">
      <c r="A257" t="str">
        <f>IF(OR(I257&lt;0, ISTEXT(W257), ISTEXT(Y257)), "Invalid", IF(OR(B257="Conflicting Duplicate", M257="Unknown", S257="Unknown"), "Warning", "Valid"))</f>
        <v>Valid</v>
      </c>
      <c r="B257" t="str">
        <f t="shared" si="25"/>
        <v>-</v>
      </c>
      <c r="C257" t="s">
        <v>1502</v>
      </c>
      <c r="D257" s="2">
        <v>45558</v>
      </c>
      <c r="E257" t="str">
        <f t="shared" si="26"/>
        <v>September</v>
      </c>
      <c r="F257">
        <f t="shared" si="27"/>
        <v>2024</v>
      </c>
      <c r="G257" s="2">
        <v>45560</v>
      </c>
      <c r="H257" t="s">
        <v>1503</v>
      </c>
      <c r="I257">
        <f t="shared" si="28"/>
        <v>2</v>
      </c>
      <c r="J257" t="s">
        <v>2795</v>
      </c>
      <c r="K257" t="s">
        <v>128</v>
      </c>
      <c r="L257" t="s">
        <v>95</v>
      </c>
      <c r="M257" t="s">
        <v>25</v>
      </c>
      <c r="N257" t="s">
        <v>350</v>
      </c>
      <c r="O257" t="s">
        <v>351</v>
      </c>
      <c r="P257" t="s">
        <v>28</v>
      </c>
      <c r="Q257" t="s">
        <v>153</v>
      </c>
      <c r="R257" t="s">
        <v>1504</v>
      </c>
      <c r="S257" t="s">
        <v>50</v>
      </c>
      <c r="T257">
        <v>2</v>
      </c>
      <c r="U257">
        <v>1275.1400000000001</v>
      </c>
      <c r="V257">
        <v>0.2</v>
      </c>
      <c r="W257">
        <v>0.2</v>
      </c>
      <c r="X257">
        <v>2040.22</v>
      </c>
      <c r="Y257">
        <f t="shared" si="24"/>
        <v>2040.22</v>
      </c>
      <c r="Z257">
        <v>1395.71</v>
      </c>
      <c r="AA257">
        <v>644.51</v>
      </c>
      <c r="AB257">
        <f t="shared" si="29"/>
        <v>644.51</v>
      </c>
      <c r="AC257" s="8">
        <f t="shared" si="30"/>
        <v>0.31590220662477575</v>
      </c>
      <c r="AD257" t="s">
        <v>32</v>
      </c>
      <c r="AE257" t="s">
        <v>33</v>
      </c>
      <c r="AF257" t="str">
        <f t="shared" si="31"/>
        <v>Perfect Match</v>
      </c>
    </row>
    <row r="258" spans="1:32">
      <c r="A258" t="str">
        <f>IF(OR(I258&lt;0, ISTEXT(W258), ISTEXT(Y258)), "Invalid", IF(OR(B258="Conflicting Duplicate", M258="Unknown", S258="Unknown"), "Warning", "Valid"))</f>
        <v>Valid</v>
      </c>
      <c r="B258" t="str">
        <f t="shared" si="25"/>
        <v>-</v>
      </c>
      <c r="C258" t="s">
        <v>1511</v>
      </c>
      <c r="D258" s="2">
        <v>45320</v>
      </c>
      <c r="E258" t="str">
        <f t="shared" si="26"/>
        <v>January</v>
      </c>
      <c r="F258">
        <f t="shared" si="27"/>
        <v>2024</v>
      </c>
      <c r="G258" s="2">
        <v>45328</v>
      </c>
      <c r="H258" t="s">
        <v>1512</v>
      </c>
      <c r="I258">
        <f t="shared" si="28"/>
        <v>8</v>
      </c>
      <c r="J258" t="s">
        <v>2795</v>
      </c>
      <c r="K258" t="s">
        <v>128</v>
      </c>
      <c r="L258" t="s">
        <v>37</v>
      </c>
      <c r="M258" t="s">
        <v>63</v>
      </c>
      <c r="N258" t="s">
        <v>72</v>
      </c>
      <c r="O258" t="s">
        <v>73</v>
      </c>
      <c r="P258" t="s">
        <v>28</v>
      </c>
      <c r="Q258" t="s">
        <v>91</v>
      </c>
      <c r="R258" t="s">
        <v>1513</v>
      </c>
      <c r="S258" t="s">
        <v>59</v>
      </c>
      <c r="T258">
        <v>2</v>
      </c>
      <c r="U258">
        <v>1258.9000000000001</v>
      </c>
      <c r="V258">
        <v>0</v>
      </c>
      <c r="W258">
        <v>0</v>
      </c>
      <c r="X258">
        <v>2517.8000000000002</v>
      </c>
      <c r="Y258">
        <f t="shared" ref="Y258:Y321" si="32">IF(ISTEXT(W258), "Cannot Calculate", ROUND(T258 * U258 * (1 - W258), 2))</f>
        <v>2517.8000000000002</v>
      </c>
      <c r="Z258">
        <v>1478.54</v>
      </c>
      <c r="AA258">
        <v>1039.26</v>
      </c>
      <c r="AB258">
        <f t="shared" si="29"/>
        <v>1039.2600000000002</v>
      </c>
      <c r="AC258" s="8">
        <f t="shared" si="30"/>
        <v>0.41276511239971408</v>
      </c>
      <c r="AD258" t="s">
        <v>32</v>
      </c>
      <c r="AE258" t="s">
        <v>33</v>
      </c>
      <c r="AF258" t="str">
        <f t="shared" si="31"/>
        <v>Perfect Match</v>
      </c>
    </row>
    <row r="259" spans="1:32">
      <c r="A259" s="6" t="str">
        <f>IF(OR(I259&lt;0, ISTEXT(W259), ISTEXT(Y259)), "Invalid", IF(OR(B259="Conflicting Duplicate", M259="Unknown", S259="Unknown"), "Warning", "Valid"))</f>
        <v>Invalid</v>
      </c>
      <c r="B259" t="str">
        <f t="shared" ref="B259:B322" si="33">IF(COUNTIF(C:C, C259)&gt;1, "Conflicting Duplicate", "-")</f>
        <v>-</v>
      </c>
      <c r="C259" t="s">
        <v>1514</v>
      </c>
      <c r="D259" s="2">
        <v>45383</v>
      </c>
      <c r="E259" t="str">
        <f t="shared" ref="E259:E322" si="34">TEXT(D259, "mmmm")</f>
        <v>April</v>
      </c>
      <c r="F259">
        <f t="shared" ref="F259:F322" si="35">YEAR(D259)</f>
        <v>2024</v>
      </c>
      <c r="G259" s="2">
        <v>45299</v>
      </c>
      <c r="H259" t="s">
        <v>1515</v>
      </c>
      <c r="I259" s="7">
        <f t="shared" ref="I259:I322" si="36">G259-D259</f>
        <v>-84</v>
      </c>
      <c r="J259" s="7" t="s">
        <v>2802</v>
      </c>
      <c r="K259" t="s">
        <v>36</v>
      </c>
      <c r="L259" t="s">
        <v>37</v>
      </c>
      <c r="M259" t="s">
        <v>38</v>
      </c>
      <c r="N259" t="s">
        <v>145</v>
      </c>
      <c r="O259" t="s">
        <v>146</v>
      </c>
      <c r="P259" t="s">
        <v>74</v>
      </c>
      <c r="Q259" t="s">
        <v>75</v>
      </c>
      <c r="R259" t="s">
        <v>1516</v>
      </c>
      <c r="S259" t="s">
        <v>44</v>
      </c>
      <c r="T259">
        <v>9</v>
      </c>
      <c r="U259">
        <v>1591.96</v>
      </c>
      <c r="V259">
        <v>0.2</v>
      </c>
      <c r="W259">
        <v>0.2</v>
      </c>
      <c r="X259">
        <v>11462.11</v>
      </c>
      <c r="Y259">
        <f t="shared" si="32"/>
        <v>11462.11</v>
      </c>
      <c r="Z259">
        <v>7105.48</v>
      </c>
      <c r="AA259">
        <v>4356.63</v>
      </c>
      <c r="AB259">
        <f t="shared" ref="AB259:AB322" si="37">IF(ISTEXT(Y259), "Cannot Calculate", Y259 - Z259)</f>
        <v>4356.630000000001</v>
      </c>
      <c r="AC259" s="8">
        <f t="shared" ref="AC259:AC322" si="38">IFERROR(AB259 / Y259, 0)</f>
        <v>0.38008970425166055</v>
      </c>
      <c r="AD259" t="s">
        <v>32</v>
      </c>
      <c r="AE259" t="s">
        <v>33</v>
      </c>
      <c r="AF259" t="str">
        <f t="shared" ref="AF259:AF322" si="39">IF(OR(ISTEXT(Z259), ISTEXT(AB259)), "Calculation Blocked", IF(OR(ROUND(X259, 2) &lt;&gt; ROUND(Y259, 2), ROUND(AA259, 2) &lt;&gt; ROUND(AB259, 2)), "Mismatch Found", "Perfect Match"))</f>
        <v>Perfect Match</v>
      </c>
    </row>
    <row r="260" spans="1:32">
      <c r="A260" t="str">
        <f>IF(OR(I260&lt;0, ISTEXT(W260), ISTEXT(Y260)), "Invalid", IF(OR(B260="Conflicting Duplicate", M260="Unknown", S260="Unknown"), "Warning", "Valid"))</f>
        <v>Valid</v>
      </c>
      <c r="B260" t="str">
        <f t="shared" si="33"/>
        <v>-</v>
      </c>
      <c r="C260" t="s">
        <v>1517</v>
      </c>
      <c r="D260" s="2">
        <v>45524</v>
      </c>
      <c r="E260" t="str">
        <f t="shared" si="34"/>
        <v>August</v>
      </c>
      <c r="F260">
        <f t="shared" si="35"/>
        <v>2024</v>
      </c>
      <c r="G260" s="2">
        <v>45525</v>
      </c>
      <c r="H260" t="s">
        <v>1518</v>
      </c>
      <c r="I260">
        <f t="shared" si="36"/>
        <v>1</v>
      </c>
      <c r="J260" t="s">
        <v>2795</v>
      </c>
      <c r="K260" t="s">
        <v>89</v>
      </c>
      <c r="L260" t="s">
        <v>90</v>
      </c>
      <c r="M260" t="s">
        <v>38</v>
      </c>
      <c r="N260" t="s">
        <v>39</v>
      </c>
      <c r="O260" t="s">
        <v>40</v>
      </c>
      <c r="P260" t="s">
        <v>74</v>
      </c>
      <c r="Q260" t="s">
        <v>80</v>
      </c>
      <c r="R260" t="s">
        <v>1519</v>
      </c>
      <c r="S260" t="s">
        <v>50</v>
      </c>
      <c r="T260">
        <v>5</v>
      </c>
      <c r="U260">
        <v>4288.33</v>
      </c>
      <c r="V260">
        <v>0.1</v>
      </c>
      <c r="W260">
        <v>0.1</v>
      </c>
      <c r="X260">
        <v>19297.490000000002</v>
      </c>
      <c r="Y260">
        <f t="shared" si="32"/>
        <v>19297.490000000002</v>
      </c>
      <c r="Z260">
        <v>15451.66</v>
      </c>
      <c r="AA260">
        <v>3845.83</v>
      </c>
      <c r="AB260">
        <f t="shared" si="37"/>
        <v>3845.8300000000017</v>
      </c>
      <c r="AC260" s="8">
        <f t="shared" si="38"/>
        <v>0.19929172135858089</v>
      </c>
      <c r="AD260" t="s">
        <v>102</v>
      </c>
      <c r="AE260" t="s">
        <v>68</v>
      </c>
      <c r="AF260" t="str">
        <f t="shared" si="39"/>
        <v>Perfect Match</v>
      </c>
    </row>
    <row r="261" spans="1:32">
      <c r="A261" t="str">
        <f>IF(OR(I261&lt;0, ISTEXT(W261), ISTEXT(Y261)), "Invalid", IF(OR(B261="Conflicting Duplicate", M261="Unknown", S261="Unknown"), "Warning", "Valid"))</f>
        <v>Valid</v>
      </c>
      <c r="B261" t="str">
        <f t="shared" si="33"/>
        <v>-</v>
      </c>
      <c r="C261" t="s">
        <v>1523</v>
      </c>
      <c r="D261" s="2">
        <v>45310</v>
      </c>
      <c r="E261" t="str">
        <f t="shared" si="34"/>
        <v>January</v>
      </c>
      <c r="F261">
        <f t="shared" si="35"/>
        <v>2024</v>
      </c>
      <c r="G261" s="2">
        <v>45316</v>
      </c>
      <c r="H261" t="s">
        <v>1524</v>
      </c>
      <c r="I261">
        <f t="shared" si="36"/>
        <v>6</v>
      </c>
      <c r="J261" t="s">
        <v>2795</v>
      </c>
      <c r="K261" t="s">
        <v>89</v>
      </c>
      <c r="L261" t="s">
        <v>90</v>
      </c>
      <c r="M261" t="s">
        <v>63</v>
      </c>
      <c r="N261" t="s">
        <v>190</v>
      </c>
      <c r="O261" t="s">
        <v>191</v>
      </c>
      <c r="P261" t="s">
        <v>74</v>
      </c>
      <c r="Q261" t="s">
        <v>80</v>
      </c>
      <c r="R261" t="s">
        <v>1525</v>
      </c>
      <c r="S261" t="s">
        <v>50</v>
      </c>
      <c r="T261">
        <v>3</v>
      </c>
      <c r="U261">
        <v>1041.6600000000001</v>
      </c>
      <c r="V261">
        <v>0.1</v>
      </c>
      <c r="W261">
        <v>0.1</v>
      </c>
      <c r="X261">
        <v>2812.48</v>
      </c>
      <c r="Y261">
        <f t="shared" si="32"/>
        <v>2812.48</v>
      </c>
      <c r="Z261">
        <v>2282.12</v>
      </c>
      <c r="AA261">
        <v>530.36</v>
      </c>
      <c r="AB261">
        <f t="shared" si="37"/>
        <v>530.36000000000013</v>
      </c>
      <c r="AC261" s="8">
        <f t="shared" si="38"/>
        <v>0.18857378541358522</v>
      </c>
      <c r="AD261" t="s">
        <v>32</v>
      </c>
      <c r="AE261" t="s">
        <v>33</v>
      </c>
      <c r="AF261" t="str">
        <f t="shared" si="39"/>
        <v>Perfect Match</v>
      </c>
    </row>
    <row r="262" spans="1:32">
      <c r="A262" t="str">
        <f>IF(OR(I262&lt;0, ISTEXT(W262), ISTEXT(Y262)), "Invalid", IF(OR(B262="Conflicting Duplicate", M262="Unknown", S262="Unknown"), "Warning", "Valid"))</f>
        <v>Valid</v>
      </c>
      <c r="B262" t="str">
        <f t="shared" si="33"/>
        <v>-</v>
      </c>
      <c r="C262" t="s">
        <v>1526</v>
      </c>
      <c r="D262" s="2">
        <v>45501</v>
      </c>
      <c r="E262" t="str">
        <f t="shared" si="34"/>
        <v>July</v>
      </c>
      <c r="F262">
        <f t="shared" si="35"/>
        <v>2024</v>
      </c>
      <c r="G262" s="2">
        <v>45504</v>
      </c>
      <c r="H262" t="s">
        <v>1527</v>
      </c>
      <c r="I262">
        <f t="shared" si="36"/>
        <v>3</v>
      </c>
      <c r="J262" t="s">
        <v>2795</v>
      </c>
      <c r="K262" t="s">
        <v>89</v>
      </c>
      <c r="L262" t="s">
        <v>24</v>
      </c>
      <c r="M262" t="s">
        <v>25</v>
      </c>
      <c r="N262" t="s">
        <v>26</v>
      </c>
      <c r="O262" t="s">
        <v>27</v>
      </c>
      <c r="P262" t="s">
        <v>41</v>
      </c>
      <c r="Q262" t="s">
        <v>42</v>
      </c>
      <c r="R262" t="s">
        <v>1528</v>
      </c>
      <c r="S262" t="s">
        <v>44</v>
      </c>
      <c r="T262">
        <v>2</v>
      </c>
      <c r="U262">
        <v>4424.78</v>
      </c>
      <c r="V262">
        <v>0.2</v>
      </c>
      <c r="W262">
        <v>0.2</v>
      </c>
      <c r="X262">
        <v>7079.65</v>
      </c>
      <c r="Y262">
        <f t="shared" si="32"/>
        <v>7079.65</v>
      </c>
      <c r="Z262">
        <v>4465.91</v>
      </c>
      <c r="AA262">
        <v>2613.7399999999998</v>
      </c>
      <c r="AB262">
        <f t="shared" si="37"/>
        <v>2613.7399999999998</v>
      </c>
      <c r="AC262" s="8">
        <f t="shared" si="38"/>
        <v>0.36919056733030586</v>
      </c>
      <c r="AD262" t="s">
        <v>32</v>
      </c>
      <c r="AE262" t="s">
        <v>33</v>
      </c>
      <c r="AF262" t="str">
        <f t="shared" si="39"/>
        <v>Perfect Match</v>
      </c>
    </row>
    <row r="263" spans="1:32">
      <c r="A263" s="6" t="str">
        <f>IF(OR(I263&lt;0, ISTEXT(W263), ISTEXT(Y263)), "Invalid", IF(OR(B263="Conflicting Duplicate", M263="Unknown", S263="Unknown"), "Warning", "Valid"))</f>
        <v>Invalid</v>
      </c>
      <c r="B263" t="str">
        <f t="shared" si="33"/>
        <v>-</v>
      </c>
      <c r="C263" t="s">
        <v>1529</v>
      </c>
      <c r="D263" s="2">
        <v>45598</v>
      </c>
      <c r="E263" t="str">
        <f t="shared" si="34"/>
        <v>November</v>
      </c>
      <c r="F263">
        <f t="shared" si="35"/>
        <v>2024</v>
      </c>
      <c r="G263" s="2">
        <v>45337</v>
      </c>
      <c r="H263" t="s">
        <v>1530</v>
      </c>
      <c r="I263" s="7">
        <f t="shared" si="36"/>
        <v>-261</v>
      </c>
      <c r="J263" s="7" t="s">
        <v>2802</v>
      </c>
      <c r="K263" t="s">
        <v>264</v>
      </c>
      <c r="L263" t="s">
        <v>24</v>
      </c>
      <c r="M263" t="s">
        <v>54</v>
      </c>
      <c r="N263" t="s">
        <v>55</v>
      </c>
      <c r="O263" t="s">
        <v>56</v>
      </c>
      <c r="P263" t="s">
        <v>28</v>
      </c>
      <c r="Q263" t="s">
        <v>153</v>
      </c>
      <c r="R263" t="s">
        <v>1531</v>
      </c>
      <c r="S263" t="s">
        <v>59</v>
      </c>
      <c r="T263">
        <v>3</v>
      </c>
      <c r="U263">
        <v>3019.14</v>
      </c>
      <c r="V263">
        <v>0.25</v>
      </c>
      <c r="W263">
        <v>0.25</v>
      </c>
      <c r="X263">
        <v>6793.07</v>
      </c>
      <c r="Y263">
        <f t="shared" si="32"/>
        <v>6793.07</v>
      </c>
      <c r="Z263">
        <v>4985.22</v>
      </c>
      <c r="AA263">
        <v>1807.85</v>
      </c>
      <c r="AB263">
        <f t="shared" si="37"/>
        <v>1807.8499999999995</v>
      </c>
      <c r="AC263" s="8">
        <f t="shared" si="38"/>
        <v>0.26613151343943159</v>
      </c>
      <c r="AD263" t="s">
        <v>32</v>
      </c>
      <c r="AE263" t="s">
        <v>33</v>
      </c>
      <c r="AF263" t="str">
        <f t="shared" si="39"/>
        <v>Perfect Match</v>
      </c>
    </row>
    <row r="264" spans="1:32">
      <c r="A264" t="str">
        <f>IF(OR(I264&lt;0, ISTEXT(W264), ISTEXT(Y264)), "Invalid", IF(OR(B264="Conflicting Duplicate", M264="Unknown", S264="Unknown"), "Warning", "Valid"))</f>
        <v>Valid</v>
      </c>
      <c r="B264" t="str">
        <f t="shared" si="33"/>
        <v>-</v>
      </c>
      <c r="C264" t="s">
        <v>1532</v>
      </c>
      <c r="D264" s="2">
        <v>45325</v>
      </c>
      <c r="E264" t="str">
        <f t="shared" si="34"/>
        <v>February</v>
      </c>
      <c r="F264">
        <f t="shared" si="35"/>
        <v>2024</v>
      </c>
      <c r="G264" s="2">
        <v>45358</v>
      </c>
      <c r="H264" t="s">
        <v>1533</v>
      </c>
      <c r="I264">
        <f t="shared" si="36"/>
        <v>33</v>
      </c>
      <c r="J264" t="s">
        <v>2795</v>
      </c>
      <c r="K264" t="s">
        <v>141</v>
      </c>
      <c r="L264" t="s">
        <v>90</v>
      </c>
      <c r="M264" t="s">
        <v>38</v>
      </c>
      <c r="N264" t="s">
        <v>39</v>
      </c>
      <c r="O264" t="s">
        <v>40</v>
      </c>
      <c r="P264" t="s">
        <v>28</v>
      </c>
      <c r="Q264" t="s">
        <v>124</v>
      </c>
      <c r="R264" t="s">
        <v>1534</v>
      </c>
      <c r="S264" t="s">
        <v>59</v>
      </c>
      <c r="T264">
        <v>7</v>
      </c>
      <c r="U264">
        <v>263.45999999999998</v>
      </c>
      <c r="V264">
        <v>0</v>
      </c>
      <c r="W264">
        <v>0</v>
      </c>
      <c r="X264">
        <v>1844.22</v>
      </c>
      <c r="Y264">
        <f t="shared" si="32"/>
        <v>1844.22</v>
      </c>
      <c r="Z264">
        <v>1094.21</v>
      </c>
      <c r="AA264">
        <v>750.01</v>
      </c>
      <c r="AB264">
        <f t="shared" si="37"/>
        <v>750.01</v>
      </c>
      <c r="AC264" s="8">
        <f t="shared" si="38"/>
        <v>0.40668141544934983</v>
      </c>
      <c r="AD264" t="s">
        <v>32</v>
      </c>
      <c r="AE264" t="s">
        <v>33</v>
      </c>
      <c r="AF264" t="str">
        <f t="shared" si="39"/>
        <v>Perfect Match</v>
      </c>
    </row>
    <row r="265" spans="1:32">
      <c r="A265" t="str">
        <f>IF(OR(I265&lt;0, ISTEXT(W265), ISTEXT(Y265)), "Invalid", IF(OR(B265="Conflicting Duplicate", M265="Unknown", S265="Unknown"), "Warning", "Valid"))</f>
        <v>Valid</v>
      </c>
      <c r="B265" t="str">
        <f t="shared" si="33"/>
        <v>-</v>
      </c>
      <c r="C265" t="s">
        <v>1535</v>
      </c>
      <c r="D265" s="2">
        <v>45609</v>
      </c>
      <c r="E265" t="str">
        <f t="shared" si="34"/>
        <v>November</v>
      </c>
      <c r="F265">
        <f t="shared" si="35"/>
        <v>2024</v>
      </c>
      <c r="G265" s="2">
        <v>45609</v>
      </c>
      <c r="H265" t="s">
        <v>1536</v>
      </c>
      <c r="I265">
        <f t="shared" si="36"/>
        <v>0</v>
      </c>
      <c r="J265" t="s">
        <v>2795</v>
      </c>
      <c r="K265" t="s">
        <v>114</v>
      </c>
      <c r="L265" t="s">
        <v>24</v>
      </c>
      <c r="M265" t="s">
        <v>63</v>
      </c>
      <c r="N265" t="s">
        <v>190</v>
      </c>
      <c r="O265" t="s">
        <v>191</v>
      </c>
      <c r="P265" t="s">
        <v>74</v>
      </c>
      <c r="Q265" t="s">
        <v>80</v>
      </c>
      <c r="R265" t="s">
        <v>1537</v>
      </c>
      <c r="S265" t="s">
        <v>59</v>
      </c>
      <c r="T265">
        <v>6</v>
      </c>
      <c r="U265">
        <v>191.45</v>
      </c>
      <c r="V265">
        <v>0.2</v>
      </c>
      <c r="W265">
        <v>0.2</v>
      </c>
      <c r="X265">
        <v>918.96</v>
      </c>
      <c r="Y265">
        <f t="shared" si="32"/>
        <v>918.96</v>
      </c>
      <c r="Z265">
        <v>554.17999999999995</v>
      </c>
      <c r="AA265">
        <v>364.78</v>
      </c>
      <c r="AB265">
        <f t="shared" si="37"/>
        <v>364.78000000000009</v>
      </c>
      <c r="AC265" s="8">
        <f t="shared" si="38"/>
        <v>0.39694872464525122</v>
      </c>
      <c r="AD265" t="s">
        <v>32</v>
      </c>
      <c r="AE265" t="s">
        <v>33</v>
      </c>
      <c r="AF265" t="str">
        <f t="shared" si="39"/>
        <v>Perfect Match</v>
      </c>
    </row>
    <row r="266" spans="1:32">
      <c r="A266" t="str">
        <f>IF(OR(I266&lt;0, ISTEXT(W266), ISTEXT(Y266)), "Invalid", IF(OR(B266="Conflicting Duplicate", M266="Unknown", S266="Unknown"), "Warning", "Valid"))</f>
        <v>Valid</v>
      </c>
      <c r="B266" t="str">
        <f t="shared" si="33"/>
        <v>-</v>
      </c>
      <c r="C266" t="s">
        <v>1538</v>
      </c>
      <c r="D266" s="2">
        <v>45357</v>
      </c>
      <c r="E266" t="str">
        <f t="shared" si="34"/>
        <v>March</v>
      </c>
      <c r="F266">
        <f t="shared" si="35"/>
        <v>2024</v>
      </c>
      <c r="G266" s="2">
        <v>45453</v>
      </c>
      <c r="H266" t="s">
        <v>1539</v>
      </c>
      <c r="I266">
        <f t="shared" si="36"/>
        <v>96</v>
      </c>
      <c r="J266" t="s">
        <v>2795</v>
      </c>
      <c r="K266" t="s">
        <v>162</v>
      </c>
      <c r="L266" t="s">
        <v>90</v>
      </c>
      <c r="M266" t="s">
        <v>25</v>
      </c>
      <c r="N266" t="s">
        <v>122</v>
      </c>
      <c r="O266" t="s">
        <v>123</v>
      </c>
      <c r="P266" t="s">
        <v>41</v>
      </c>
      <c r="Q266" t="s">
        <v>57</v>
      </c>
      <c r="R266" t="s">
        <v>1540</v>
      </c>
      <c r="S266" t="s">
        <v>59</v>
      </c>
      <c r="T266">
        <v>3</v>
      </c>
      <c r="U266">
        <v>1633.57</v>
      </c>
      <c r="V266">
        <v>0</v>
      </c>
      <c r="W266">
        <v>0</v>
      </c>
      <c r="X266">
        <v>4900.71</v>
      </c>
      <c r="Y266">
        <f t="shared" si="32"/>
        <v>4900.71</v>
      </c>
      <c r="Z266">
        <v>2713.9</v>
      </c>
      <c r="AA266">
        <v>2186.81</v>
      </c>
      <c r="AB266">
        <f t="shared" si="37"/>
        <v>2186.81</v>
      </c>
      <c r="AC266" s="8">
        <f t="shared" si="38"/>
        <v>0.44622309828575857</v>
      </c>
      <c r="AD266" t="s">
        <v>32</v>
      </c>
      <c r="AE266" t="s">
        <v>33</v>
      </c>
      <c r="AF266" t="str">
        <f t="shared" si="39"/>
        <v>Perfect Match</v>
      </c>
    </row>
    <row r="267" spans="1:32">
      <c r="A267" t="str">
        <f>IF(OR(I267&lt;0, ISTEXT(W267), ISTEXT(Y267)), "Invalid", IF(OR(B267="Conflicting Duplicate", M267="Unknown", S267="Unknown"), "Warning", "Valid"))</f>
        <v>Valid</v>
      </c>
      <c r="B267" t="str">
        <f t="shared" si="33"/>
        <v>-</v>
      </c>
      <c r="C267" t="s">
        <v>1544</v>
      </c>
      <c r="D267" s="2">
        <v>45419</v>
      </c>
      <c r="E267" t="str">
        <f t="shared" si="34"/>
        <v>May</v>
      </c>
      <c r="F267">
        <f t="shared" si="35"/>
        <v>2024</v>
      </c>
      <c r="G267" s="2">
        <v>45426</v>
      </c>
      <c r="H267" t="s">
        <v>1545</v>
      </c>
      <c r="I267">
        <f t="shared" si="36"/>
        <v>7</v>
      </c>
      <c r="J267" t="s">
        <v>2795</v>
      </c>
      <c r="K267" t="s">
        <v>132</v>
      </c>
      <c r="L267" t="s">
        <v>37</v>
      </c>
      <c r="M267" t="s">
        <v>25</v>
      </c>
      <c r="N267" t="s">
        <v>26</v>
      </c>
      <c r="O267" t="s">
        <v>27</v>
      </c>
      <c r="P267" t="s">
        <v>28</v>
      </c>
      <c r="Q267" t="s">
        <v>124</v>
      </c>
      <c r="R267" t="s">
        <v>1546</v>
      </c>
      <c r="S267" t="s">
        <v>50</v>
      </c>
      <c r="T267">
        <v>3</v>
      </c>
      <c r="U267">
        <v>383.58</v>
      </c>
      <c r="V267">
        <v>0.1</v>
      </c>
      <c r="W267">
        <v>0.1</v>
      </c>
      <c r="X267">
        <v>1035.67</v>
      </c>
      <c r="Y267">
        <f t="shared" si="32"/>
        <v>1035.67</v>
      </c>
      <c r="Z267">
        <v>595.41999999999996</v>
      </c>
      <c r="AA267">
        <v>440.25</v>
      </c>
      <c r="AB267">
        <f t="shared" si="37"/>
        <v>440.25000000000011</v>
      </c>
      <c r="AC267" s="8">
        <f t="shared" si="38"/>
        <v>0.42508714165709161</v>
      </c>
      <c r="AD267" t="s">
        <v>32</v>
      </c>
      <c r="AE267" t="s">
        <v>33</v>
      </c>
      <c r="AF267" t="str">
        <f t="shared" si="39"/>
        <v>Perfect Match</v>
      </c>
    </row>
    <row r="268" spans="1:32">
      <c r="A268" s="6" t="str">
        <f>IF(OR(I268&lt;0, ISTEXT(W268), ISTEXT(Y268)), "Invalid", IF(OR(B268="Conflicting Duplicate", M268="Unknown", S268="Unknown"), "Warning", "Valid"))</f>
        <v>Warning</v>
      </c>
      <c r="B268" t="str">
        <f t="shared" si="33"/>
        <v>-</v>
      </c>
      <c r="C268" t="s">
        <v>1550</v>
      </c>
      <c r="D268" s="2">
        <v>45452</v>
      </c>
      <c r="E268" t="str">
        <f t="shared" si="34"/>
        <v>June</v>
      </c>
      <c r="F268">
        <f t="shared" si="35"/>
        <v>2024</v>
      </c>
      <c r="G268" s="2">
        <v>45456</v>
      </c>
      <c r="H268" t="s">
        <v>1551</v>
      </c>
      <c r="I268">
        <f t="shared" si="36"/>
        <v>4</v>
      </c>
      <c r="J268" t="s">
        <v>2795</v>
      </c>
      <c r="K268" t="s">
        <v>36</v>
      </c>
      <c r="L268" t="s">
        <v>95</v>
      </c>
      <c r="M268" s="4" t="s">
        <v>2790</v>
      </c>
      <c r="N268" t="s">
        <v>136</v>
      </c>
      <c r="O268" t="s">
        <v>137</v>
      </c>
      <c r="P268" t="s">
        <v>74</v>
      </c>
      <c r="Q268" t="s">
        <v>274</v>
      </c>
      <c r="R268" t="s">
        <v>1552</v>
      </c>
      <c r="S268" t="s">
        <v>44</v>
      </c>
      <c r="T268">
        <v>7</v>
      </c>
      <c r="U268">
        <v>4079.71</v>
      </c>
      <c r="V268">
        <v>0.1</v>
      </c>
      <c r="W268">
        <v>0.1</v>
      </c>
      <c r="X268">
        <v>25702.17</v>
      </c>
      <c r="Y268">
        <f t="shared" si="32"/>
        <v>25702.17</v>
      </c>
      <c r="Z268">
        <v>14571.48</v>
      </c>
      <c r="AA268">
        <v>11130.69</v>
      </c>
      <c r="AB268">
        <f t="shared" si="37"/>
        <v>11130.689999999999</v>
      </c>
      <c r="AC268" s="8">
        <f t="shared" si="38"/>
        <v>0.43306421208792872</v>
      </c>
      <c r="AD268" t="s">
        <v>102</v>
      </c>
      <c r="AE268" t="s">
        <v>103</v>
      </c>
      <c r="AF268" t="str">
        <f t="shared" si="39"/>
        <v>Perfect Match</v>
      </c>
    </row>
    <row r="269" spans="1:32">
      <c r="A269" s="6" t="str">
        <f>IF(OR(I269&lt;0, ISTEXT(W269), ISTEXT(Y269)), "Invalid", IF(OR(B269="Conflicting Duplicate", M269="Unknown", S269="Unknown"), "Warning", "Valid"))</f>
        <v>Invalid</v>
      </c>
      <c r="B269" t="str">
        <f t="shared" si="33"/>
        <v>-</v>
      </c>
      <c r="C269" t="s">
        <v>1553</v>
      </c>
      <c r="D269" s="2">
        <v>45345</v>
      </c>
      <c r="E269" t="str">
        <f t="shared" si="34"/>
        <v>February</v>
      </c>
      <c r="F269">
        <f t="shared" si="35"/>
        <v>2024</v>
      </c>
      <c r="G269" s="2">
        <v>45342</v>
      </c>
      <c r="H269" t="s">
        <v>1554</v>
      </c>
      <c r="I269" s="7">
        <f t="shared" si="36"/>
        <v>-3</v>
      </c>
      <c r="J269" s="7" t="s">
        <v>2802</v>
      </c>
      <c r="K269" t="s">
        <v>53</v>
      </c>
      <c r="L269" t="s">
        <v>90</v>
      </c>
      <c r="M269" t="s">
        <v>38</v>
      </c>
      <c r="N269" t="s">
        <v>39</v>
      </c>
      <c r="O269" t="s">
        <v>40</v>
      </c>
      <c r="P269" t="s">
        <v>41</v>
      </c>
      <c r="Q269" t="s">
        <v>66</v>
      </c>
      <c r="R269" t="s">
        <v>1555</v>
      </c>
      <c r="S269" t="s">
        <v>31</v>
      </c>
      <c r="T269">
        <v>1</v>
      </c>
      <c r="U269">
        <v>2202.5500000000002</v>
      </c>
      <c r="V269" s="4" t="str">
        <f>IF(ROUND(T251*U251, 2)=ROUND(X251, 2), 0, "Flag - Missing Value")</f>
        <v>Flag - Missing Value</v>
      </c>
      <c r="W269" s="4" t="s">
        <v>2794</v>
      </c>
      <c r="X269">
        <v>1651.91</v>
      </c>
      <c r="Y269" s="4" t="str">
        <f t="shared" si="32"/>
        <v>Cannot Calculate</v>
      </c>
      <c r="Z269">
        <v>1034.57</v>
      </c>
      <c r="AA269">
        <v>617.34</v>
      </c>
      <c r="AB269" s="4" t="str">
        <f t="shared" si="37"/>
        <v>Cannot Calculate</v>
      </c>
      <c r="AC269" s="9">
        <f t="shared" si="38"/>
        <v>0</v>
      </c>
      <c r="AD269" t="s">
        <v>32</v>
      </c>
      <c r="AE269" t="s">
        <v>33</v>
      </c>
      <c r="AF269" t="str">
        <f t="shared" si="39"/>
        <v>Calculation Blocked</v>
      </c>
    </row>
    <row r="270" spans="1:32">
      <c r="A270" t="str">
        <f>IF(OR(I270&lt;0, ISTEXT(W270), ISTEXT(Y270)), "Invalid", IF(OR(B270="Conflicting Duplicate", M270="Unknown", S270="Unknown"), "Warning", "Valid"))</f>
        <v>Valid</v>
      </c>
      <c r="B270" t="str">
        <f t="shared" si="33"/>
        <v>-</v>
      </c>
      <c r="C270" t="s">
        <v>1562</v>
      </c>
      <c r="D270" s="2">
        <v>45495</v>
      </c>
      <c r="E270" t="str">
        <f t="shared" si="34"/>
        <v>July</v>
      </c>
      <c r="F270">
        <f t="shared" si="35"/>
        <v>2024</v>
      </c>
      <c r="G270" s="2">
        <v>45495</v>
      </c>
      <c r="H270" t="s">
        <v>1563</v>
      </c>
      <c r="I270">
        <f t="shared" si="36"/>
        <v>0</v>
      </c>
      <c r="J270" t="s">
        <v>2795</v>
      </c>
      <c r="K270" t="s">
        <v>114</v>
      </c>
      <c r="L270" t="s">
        <v>24</v>
      </c>
      <c r="M270" t="s">
        <v>54</v>
      </c>
      <c r="N270" t="s">
        <v>175</v>
      </c>
      <c r="O270" t="s">
        <v>176</v>
      </c>
      <c r="P270" t="s">
        <v>74</v>
      </c>
      <c r="Q270" t="s">
        <v>75</v>
      </c>
      <c r="R270" t="s">
        <v>1564</v>
      </c>
      <c r="S270" t="s">
        <v>31</v>
      </c>
      <c r="T270">
        <v>3</v>
      </c>
      <c r="U270">
        <v>1286.22</v>
      </c>
      <c r="V270">
        <v>0.25</v>
      </c>
      <c r="W270">
        <v>0.25</v>
      </c>
      <c r="X270">
        <v>2893.99</v>
      </c>
      <c r="Y270">
        <f t="shared" si="32"/>
        <v>2894</v>
      </c>
      <c r="Z270">
        <v>1856.03</v>
      </c>
      <c r="AA270">
        <v>1037.96</v>
      </c>
      <c r="AB270">
        <f t="shared" si="37"/>
        <v>1037.97</v>
      </c>
      <c r="AC270" s="8">
        <f t="shared" si="38"/>
        <v>0.35866275051831376</v>
      </c>
      <c r="AD270" t="s">
        <v>32</v>
      </c>
      <c r="AE270" t="s">
        <v>33</v>
      </c>
      <c r="AF270" t="str">
        <f t="shared" si="39"/>
        <v>Mismatch Found</v>
      </c>
    </row>
    <row r="271" spans="1:32">
      <c r="A271" t="str">
        <f>IF(OR(I271&lt;0, ISTEXT(W271), ISTEXT(Y271)), "Invalid", IF(OR(B271="Conflicting Duplicate", M271="Unknown", S271="Unknown"), "Warning", "Valid"))</f>
        <v>Valid</v>
      </c>
      <c r="B271" t="str">
        <f t="shared" si="33"/>
        <v>-</v>
      </c>
      <c r="C271" t="s">
        <v>1565</v>
      </c>
      <c r="D271" s="2">
        <v>45651</v>
      </c>
      <c r="E271" t="str">
        <f t="shared" si="34"/>
        <v>December</v>
      </c>
      <c r="F271">
        <f t="shared" si="35"/>
        <v>2024</v>
      </c>
      <c r="G271" s="2">
        <v>45651</v>
      </c>
      <c r="H271" t="s">
        <v>1566</v>
      </c>
      <c r="I271">
        <f t="shared" si="36"/>
        <v>0</v>
      </c>
      <c r="J271" t="s">
        <v>2795</v>
      </c>
      <c r="K271" t="s">
        <v>36</v>
      </c>
      <c r="L271" t="s">
        <v>90</v>
      </c>
      <c r="M271" t="s">
        <v>38</v>
      </c>
      <c r="N271" t="s">
        <v>145</v>
      </c>
      <c r="O271" t="s">
        <v>146</v>
      </c>
      <c r="P271" t="s">
        <v>74</v>
      </c>
      <c r="Q271" t="s">
        <v>80</v>
      </c>
      <c r="R271" t="s">
        <v>1567</v>
      </c>
      <c r="S271" t="s">
        <v>59</v>
      </c>
      <c r="T271">
        <v>1</v>
      </c>
      <c r="U271">
        <v>829.66</v>
      </c>
      <c r="V271">
        <v>0.15</v>
      </c>
      <c r="W271">
        <v>0.15</v>
      </c>
      <c r="X271">
        <v>705.21</v>
      </c>
      <c r="Y271">
        <f t="shared" si="32"/>
        <v>705.21</v>
      </c>
      <c r="Z271">
        <v>438.32</v>
      </c>
      <c r="AA271">
        <v>266.89</v>
      </c>
      <c r="AB271">
        <f t="shared" si="37"/>
        <v>266.89000000000004</v>
      </c>
      <c r="AC271" s="8">
        <f t="shared" si="38"/>
        <v>0.37845464471575846</v>
      </c>
      <c r="AD271" t="s">
        <v>32</v>
      </c>
      <c r="AE271" t="s">
        <v>33</v>
      </c>
      <c r="AF271" t="str">
        <f t="shared" si="39"/>
        <v>Perfect Match</v>
      </c>
    </row>
    <row r="272" spans="1:32">
      <c r="A272" t="str">
        <f>IF(OR(I272&lt;0, ISTEXT(W272), ISTEXT(Y272)), "Invalid", IF(OR(B272="Conflicting Duplicate", M272="Unknown", S272="Unknown"), "Warning", "Valid"))</f>
        <v>Valid</v>
      </c>
      <c r="B272" t="str">
        <f t="shared" si="33"/>
        <v>-</v>
      </c>
      <c r="C272" t="s">
        <v>1568</v>
      </c>
      <c r="D272" s="2">
        <v>45654</v>
      </c>
      <c r="E272" t="str">
        <f t="shared" si="34"/>
        <v>December</v>
      </c>
      <c r="F272">
        <f t="shared" si="35"/>
        <v>2024</v>
      </c>
      <c r="G272" s="2">
        <v>45657</v>
      </c>
      <c r="H272" t="s">
        <v>1569</v>
      </c>
      <c r="I272">
        <f t="shared" si="36"/>
        <v>3</v>
      </c>
      <c r="J272" t="s">
        <v>2795</v>
      </c>
      <c r="K272" t="s">
        <v>36</v>
      </c>
      <c r="L272" t="s">
        <v>37</v>
      </c>
      <c r="M272" t="s">
        <v>54</v>
      </c>
      <c r="N272" t="s">
        <v>84</v>
      </c>
      <c r="O272" t="s">
        <v>85</v>
      </c>
      <c r="P272" t="s">
        <v>41</v>
      </c>
      <c r="Q272" t="s">
        <v>57</v>
      </c>
      <c r="R272" t="s">
        <v>1570</v>
      </c>
      <c r="S272" t="s">
        <v>50</v>
      </c>
      <c r="T272">
        <v>6</v>
      </c>
      <c r="U272">
        <v>3641.22</v>
      </c>
      <c r="V272">
        <v>0.25</v>
      </c>
      <c r="W272">
        <v>0.25</v>
      </c>
      <c r="X272">
        <v>16385.490000000002</v>
      </c>
      <c r="Y272">
        <f t="shared" si="32"/>
        <v>16385.490000000002</v>
      </c>
      <c r="Z272">
        <v>13679.24</v>
      </c>
      <c r="AA272">
        <v>2706.25</v>
      </c>
      <c r="AB272">
        <f t="shared" si="37"/>
        <v>2706.2500000000018</v>
      </c>
      <c r="AC272" s="8">
        <f t="shared" si="38"/>
        <v>0.16516137143289591</v>
      </c>
      <c r="AD272" t="s">
        <v>32</v>
      </c>
      <c r="AE272" t="s">
        <v>33</v>
      </c>
      <c r="AF272" t="str">
        <f t="shared" si="39"/>
        <v>Perfect Match</v>
      </c>
    </row>
    <row r="273" spans="1:32">
      <c r="A273" t="str">
        <f>IF(OR(I273&lt;0, ISTEXT(W273), ISTEXT(Y273)), "Invalid", IF(OR(B273="Conflicting Duplicate", M273="Unknown", S273="Unknown"), "Warning", "Valid"))</f>
        <v>Valid</v>
      </c>
      <c r="B273" t="str">
        <f t="shared" si="33"/>
        <v>-</v>
      </c>
      <c r="C273" t="s">
        <v>1580</v>
      </c>
      <c r="D273" s="2">
        <v>45579</v>
      </c>
      <c r="E273" t="str">
        <f t="shared" si="34"/>
        <v>October</v>
      </c>
      <c r="F273">
        <f t="shared" si="35"/>
        <v>2024</v>
      </c>
      <c r="G273" s="2">
        <v>45585</v>
      </c>
      <c r="H273" t="s">
        <v>1581</v>
      </c>
      <c r="I273">
        <f t="shared" si="36"/>
        <v>6</v>
      </c>
      <c r="J273" t="s">
        <v>2795</v>
      </c>
      <c r="K273" t="s">
        <v>89</v>
      </c>
      <c r="L273" t="s">
        <v>37</v>
      </c>
      <c r="M273" t="s">
        <v>25</v>
      </c>
      <c r="N273" t="s">
        <v>26</v>
      </c>
      <c r="O273" t="s">
        <v>27</v>
      </c>
      <c r="P273" t="s">
        <v>41</v>
      </c>
      <c r="Q273" t="s">
        <v>42</v>
      </c>
      <c r="R273" t="s">
        <v>1582</v>
      </c>
      <c r="S273" t="s">
        <v>44</v>
      </c>
      <c r="T273">
        <v>7</v>
      </c>
      <c r="U273">
        <v>1547.6</v>
      </c>
      <c r="V273">
        <v>0.2</v>
      </c>
      <c r="W273">
        <v>0.2</v>
      </c>
      <c r="X273">
        <v>8666.56</v>
      </c>
      <c r="Y273">
        <f t="shared" si="32"/>
        <v>8666.56</v>
      </c>
      <c r="Z273">
        <v>5967.44</v>
      </c>
      <c r="AA273">
        <v>2699.12</v>
      </c>
      <c r="AB273">
        <f t="shared" si="37"/>
        <v>2699.12</v>
      </c>
      <c r="AC273" s="8">
        <f t="shared" si="38"/>
        <v>0.31144075619392242</v>
      </c>
      <c r="AD273" t="s">
        <v>32</v>
      </c>
      <c r="AE273" t="s">
        <v>33</v>
      </c>
      <c r="AF273" t="str">
        <f t="shared" si="39"/>
        <v>Perfect Match</v>
      </c>
    </row>
    <row r="274" spans="1:32">
      <c r="A274" t="str">
        <f>IF(OR(I274&lt;0, ISTEXT(W274), ISTEXT(Y274)), "Invalid", IF(OR(B274="Conflicting Duplicate", M274="Unknown", S274="Unknown"), "Warning", "Valid"))</f>
        <v>Valid</v>
      </c>
      <c r="B274" t="str">
        <f t="shared" si="33"/>
        <v>-</v>
      </c>
      <c r="C274" t="s">
        <v>1583</v>
      </c>
      <c r="D274" s="2">
        <v>45329</v>
      </c>
      <c r="E274" t="str">
        <f t="shared" si="34"/>
        <v>February</v>
      </c>
      <c r="F274">
        <f t="shared" si="35"/>
        <v>2024</v>
      </c>
      <c r="G274" s="2">
        <v>45334</v>
      </c>
      <c r="H274" t="s">
        <v>1584</v>
      </c>
      <c r="I274">
        <f t="shared" si="36"/>
        <v>5</v>
      </c>
      <c r="J274" t="s">
        <v>2795</v>
      </c>
      <c r="K274" t="s">
        <v>53</v>
      </c>
      <c r="L274" t="s">
        <v>95</v>
      </c>
      <c r="M274" t="s">
        <v>38</v>
      </c>
      <c r="N274" t="s">
        <v>99</v>
      </c>
      <c r="O274" t="s">
        <v>100</v>
      </c>
      <c r="P274" t="s">
        <v>74</v>
      </c>
      <c r="Q274" t="s">
        <v>75</v>
      </c>
      <c r="R274" t="s">
        <v>1585</v>
      </c>
      <c r="S274" t="s">
        <v>31</v>
      </c>
      <c r="T274">
        <v>1</v>
      </c>
      <c r="U274">
        <v>452.19</v>
      </c>
      <c r="V274">
        <v>0.2</v>
      </c>
      <c r="W274">
        <v>0.2</v>
      </c>
      <c r="X274">
        <v>361.75</v>
      </c>
      <c r="Y274">
        <f t="shared" si="32"/>
        <v>361.75</v>
      </c>
      <c r="Z274">
        <v>262.52999999999997</v>
      </c>
      <c r="AA274">
        <v>99.22</v>
      </c>
      <c r="AB274">
        <f t="shared" si="37"/>
        <v>99.220000000000027</v>
      </c>
      <c r="AC274" s="8">
        <f t="shared" si="38"/>
        <v>0.27427781617138913</v>
      </c>
      <c r="AD274" t="s">
        <v>32</v>
      </c>
      <c r="AE274" t="s">
        <v>33</v>
      </c>
      <c r="AF274" t="str">
        <f t="shared" si="39"/>
        <v>Perfect Match</v>
      </c>
    </row>
    <row r="275" spans="1:32">
      <c r="A275" t="str">
        <f>IF(OR(I275&lt;0, ISTEXT(W275), ISTEXT(Y275)), "Invalid", IF(OR(B275="Conflicting Duplicate", M275="Unknown", S275="Unknown"), "Warning", "Valid"))</f>
        <v>Valid</v>
      </c>
      <c r="B275" t="str">
        <f t="shared" si="33"/>
        <v>-</v>
      </c>
      <c r="C275" t="s">
        <v>1586</v>
      </c>
      <c r="D275" s="2">
        <v>45551</v>
      </c>
      <c r="E275" t="str">
        <f t="shared" si="34"/>
        <v>September</v>
      </c>
      <c r="F275">
        <f t="shared" si="35"/>
        <v>2024</v>
      </c>
      <c r="G275" s="2">
        <v>45554</v>
      </c>
      <c r="H275" t="s">
        <v>1587</v>
      </c>
      <c r="I275">
        <f t="shared" si="36"/>
        <v>3</v>
      </c>
      <c r="J275" t="s">
        <v>2795</v>
      </c>
      <c r="K275" t="s">
        <v>89</v>
      </c>
      <c r="L275" t="s">
        <v>24</v>
      </c>
      <c r="M275" t="s">
        <v>63</v>
      </c>
      <c r="N275" t="s">
        <v>26</v>
      </c>
      <c r="O275" t="s">
        <v>109</v>
      </c>
      <c r="P275" t="s">
        <v>28</v>
      </c>
      <c r="Q275" t="s">
        <v>153</v>
      </c>
      <c r="R275" t="s">
        <v>1588</v>
      </c>
      <c r="S275" t="s">
        <v>50</v>
      </c>
      <c r="T275">
        <v>7</v>
      </c>
      <c r="U275">
        <v>406.42</v>
      </c>
      <c r="V275">
        <v>0.15</v>
      </c>
      <c r="W275">
        <v>0.15</v>
      </c>
      <c r="X275">
        <v>2418.1999999999998</v>
      </c>
      <c r="Y275">
        <f t="shared" si="32"/>
        <v>2418.1999999999998</v>
      </c>
      <c r="Z275">
        <v>1613.82</v>
      </c>
      <c r="AA275">
        <v>804.38</v>
      </c>
      <c r="AB275">
        <f t="shared" si="37"/>
        <v>804.37999999999988</v>
      </c>
      <c r="AC275" s="8">
        <f t="shared" si="38"/>
        <v>0.33263584484327186</v>
      </c>
      <c r="AD275" t="s">
        <v>32</v>
      </c>
      <c r="AE275" t="s">
        <v>33</v>
      </c>
      <c r="AF275" t="str">
        <f t="shared" si="39"/>
        <v>Perfect Match</v>
      </c>
    </row>
    <row r="276" spans="1:32">
      <c r="A276" s="6" t="str">
        <f>IF(OR(I276&lt;0, ISTEXT(W276), ISTEXT(Y276)), "Invalid", IF(OR(B276="Conflicting Duplicate", M276="Unknown", S276="Unknown"), "Warning", "Valid"))</f>
        <v>Invalid</v>
      </c>
      <c r="B276" t="str">
        <f t="shared" si="33"/>
        <v>-</v>
      </c>
      <c r="C276" t="s">
        <v>1599</v>
      </c>
      <c r="D276" s="2">
        <v>45610</v>
      </c>
      <c r="E276" t="str">
        <f t="shared" si="34"/>
        <v>November</v>
      </c>
      <c r="F276">
        <f t="shared" si="35"/>
        <v>2024</v>
      </c>
      <c r="G276" s="2">
        <v>45618</v>
      </c>
      <c r="H276" t="s">
        <v>1600</v>
      </c>
      <c r="I276">
        <f t="shared" si="36"/>
        <v>8</v>
      </c>
      <c r="J276" t="s">
        <v>2795</v>
      </c>
      <c r="K276" t="s">
        <v>47</v>
      </c>
      <c r="L276" t="s">
        <v>24</v>
      </c>
      <c r="M276" t="s">
        <v>63</v>
      </c>
      <c r="N276" t="s">
        <v>72</v>
      </c>
      <c r="O276" t="s">
        <v>73</v>
      </c>
      <c r="P276" t="s">
        <v>74</v>
      </c>
      <c r="Q276" t="s">
        <v>171</v>
      </c>
      <c r="R276" t="s">
        <v>1601</v>
      </c>
      <c r="S276" t="s">
        <v>59</v>
      </c>
      <c r="T276">
        <v>3</v>
      </c>
      <c r="U276">
        <v>671.68</v>
      </c>
      <c r="V276">
        <v>-0.13</v>
      </c>
      <c r="W276" s="4" t="s">
        <v>2794</v>
      </c>
      <c r="X276">
        <v>1712.78</v>
      </c>
      <c r="Y276" s="4" t="str">
        <f t="shared" si="32"/>
        <v>Cannot Calculate</v>
      </c>
      <c r="Z276">
        <v>1569.38</v>
      </c>
      <c r="AA276">
        <v>360.66</v>
      </c>
      <c r="AB276" s="4" t="str">
        <f t="shared" si="37"/>
        <v>Cannot Calculate</v>
      </c>
      <c r="AC276" s="9">
        <f t="shared" si="38"/>
        <v>0</v>
      </c>
      <c r="AD276" t="s">
        <v>155</v>
      </c>
      <c r="AE276" t="s">
        <v>68</v>
      </c>
      <c r="AF276" t="str">
        <f t="shared" si="39"/>
        <v>Calculation Blocked</v>
      </c>
    </row>
    <row r="277" spans="1:32">
      <c r="A277" t="str">
        <f>IF(OR(I277&lt;0, ISTEXT(W277), ISTEXT(Y277)), "Invalid", IF(OR(B277="Conflicting Duplicate", M277="Unknown", S277="Unknown"), "Warning", "Valid"))</f>
        <v>Valid</v>
      </c>
      <c r="B277" t="str">
        <f t="shared" si="33"/>
        <v>-</v>
      </c>
      <c r="C277" t="s">
        <v>1602</v>
      </c>
      <c r="D277" s="2">
        <v>45421</v>
      </c>
      <c r="E277" t="str">
        <f t="shared" si="34"/>
        <v>May</v>
      </c>
      <c r="F277">
        <f t="shared" si="35"/>
        <v>2024</v>
      </c>
      <c r="G277" s="2">
        <v>45427</v>
      </c>
      <c r="H277" t="s">
        <v>1603</v>
      </c>
      <c r="I277">
        <f t="shared" si="36"/>
        <v>6</v>
      </c>
      <c r="J277" t="s">
        <v>2795</v>
      </c>
      <c r="K277" t="s">
        <v>36</v>
      </c>
      <c r="L277" t="s">
        <v>37</v>
      </c>
      <c r="M277" t="s">
        <v>38</v>
      </c>
      <c r="N277" t="s">
        <v>166</v>
      </c>
      <c r="O277" t="s">
        <v>167</v>
      </c>
      <c r="P277" t="s">
        <v>74</v>
      </c>
      <c r="Q277" t="s">
        <v>171</v>
      </c>
      <c r="R277" t="s">
        <v>1604</v>
      </c>
      <c r="S277" t="s">
        <v>31</v>
      </c>
      <c r="T277">
        <v>4</v>
      </c>
      <c r="U277">
        <v>995.98</v>
      </c>
      <c r="V277">
        <v>0.05</v>
      </c>
      <c r="W277">
        <v>0.05</v>
      </c>
      <c r="X277">
        <v>3784.72</v>
      </c>
      <c r="Y277">
        <f t="shared" si="32"/>
        <v>3784.72</v>
      </c>
      <c r="Z277">
        <v>2419.2399999999998</v>
      </c>
      <c r="AA277">
        <v>1365.48</v>
      </c>
      <c r="AB277">
        <f t="shared" si="37"/>
        <v>1365.48</v>
      </c>
      <c r="AC277" s="8">
        <f t="shared" si="38"/>
        <v>0.3607875879853728</v>
      </c>
      <c r="AD277" t="s">
        <v>102</v>
      </c>
      <c r="AE277" t="s">
        <v>103</v>
      </c>
      <c r="AF277" t="str">
        <f t="shared" si="39"/>
        <v>Perfect Match</v>
      </c>
    </row>
    <row r="278" spans="1:32">
      <c r="A278" t="str">
        <f>IF(OR(I278&lt;0, ISTEXT(W278), ISTEXT(Y278)), "Invalid", IF(OR(B278="Conflicting Duplicate", M278="Unknown", S278="Unknown"), "Warning", "Valid"))</f>
        <v>Valid</v>
      </c>
      <c r="B278" t="str">
        <f t="shared" si="33"/>
        <v>-</v>
      </c>
      <c r="C278" t="s">
        <v>1608</v>
      </c>
      <c r="D278" s="2">
        <v>45533</v>
      </c>
      <c r="E278" t="str">
        <f t="shared" si="34"/>
        <v>August</v>
      </c>
      <c r="F278">
        <f t="shared" si="35"/>
        <v>2024</v>
      </c>
      <c r="G278" s="2">
        <v>45533</v>
      </c>
      <c r="H278" t="s">
        <v>1609</v>
      </c>
      <c r="I278">
        <f t="shared" si="36"/>
        <v>0</v>
      </c>
      <c r="J278" t="s">
        <v>2795</v>
      </c>
      <c r="K278" t="s">
        <v>132</v>
      </c>
      <c r="L278" t="s">
        <v>37</v>
      </c>
      <c r="M278" t="s">
        <v>481</v>
      </c>
      <c r="N278" t="s">
        <v>136</v>
      </c>
      <c r="O278" t="s">
        <v>137</v>
      </c>
      <c r="P278" t="s">
        <v>74</v>
      </c>
      <c r="Q278" t="s">
        <v>75</v>
      </c>
      <c r="R278" t="s">
        <v>1610</v>
      </c>
      <c r="S278" t="s">
        <v>31</v>
      </c>
      <c r="T278">
        <v>1</v>
      </c>
      <c r="U278">
        <v>3106.88</v>
      </c>
      <c r="V278">
        <v>0.2</v>
      </c>
      <c r="W278">
        <v>0.2</v>
      </c>
      <c r="X278">
        <v>2485.5</v>
      </c>
      <c r="Y278">
        <f t="shared" si="32"/>
        <v>2485.5</v>
      </c>
      <c r="Z278">
        <v>2028.43</v>
      </c>
      <c r="AA278">
        <v>457.07</v>
      </c>
      <c r="AB278">
        <f t="shared" si="37"/>
        <v>457.06999999999994</v>
      </c>
      <c r="AC278" s="8">
        <f t="shared" si="38"/>
        <v>0.18389458861396094</v>
      </c>
      <c r="AD278" t="s">
        <v>32</v>
      </c>
      <c r="AE278" t="s">
        <v>68</v>
      </c>
      <c r="AF278" t="str">
        <f t="shared" si="39"/>
        <v>Perfect Match</v>
      </c>
    </row>
    <row r="279" spans="1:32">
      <c r="A279" s="6" t="str">
        <f>IF(OR(I279&lt;0, ISTEXT(W279), ISTEXT(Y279)), "Invalid", IF(OR(B279="Conflicting Duplicate", M279="Unknown", S279="Unknown"), "Warning", "Valid"))</f>
        <v>Invalid</v>
      </c>
      <c r="B279" t="str">
        <f t="shared" si="33"/>
        <v>-</v>
      </c>
      <c r="C279" t="s">
        <v>1615</v>
      </c>
      <c r="D279" s="2">
        <v>45648</v>
      </c>
      <c r="E279" t="str">
        <f t="shared" si="34"/>
        <v>December</v>
      </c>
      <c r="F279">
        <f t="shared" si="35"/>
        <v>2024</v>
      </c>
      <c r="G279" s="2">
        <v>45652</v>
      </c>
      <c r="H279" t="s">
        <v>1616</v>
      </c>
      <c r="I279">
        <f t="shared" si="36"/>
        <v>4</v>
      </c>
      <c r="J279" t="s">
        <v>2795</v>
      </c>
      <c r="K279" t="s">
        <v>118</v>
      </c>
      <c r="L279" t="s">
        <v>95</v>
      </c>
      <c r="M279" t="s">
        <v>25</v>
      </c>
      <c r="N279" t="s">
        <v>136</v>
      </c>
      <c r="O279" t="s">
        <v>137</v>
      </c>
      <c r="P279" t="s">
        <v>41</v>
      </c>
      <c r="Q279" t="s">
        <v>66</v>
      </c>
      <c r="R279" t="s">
        <v>1617</v>
      </c>
      <c r="S279" t="s">
        <v>59</v>
      </c>
      <c r="T279">
        <v>9</v>
      </c>
      <c r="U279">
        <v>1110.8699999999999</v>
      </c>
      <c r="V279" s="4" t="str">
        <f>IF(ROUND(T261*U261, 2)=ROUND(X261, 2), 0, "Flag - Missing Value")</f>
        <v>Flag - Missing Value</v>
      </c>
      <c r="W279" s="4" t="s">
        <v>2794</v>
      </c>
      <c r="X279">
        <v>7498.37</v>
      </c>
      <c r="Y279" s="4" t="str">
        <f t="shared" si="32"/>
        <v>Cannot Calculate</v>
      </c>
      <c r="Z279">
        <v>6059.07</v>
      </c>
      <c r="AA279">
        <v>1439.3</v>
      </c>
      <c r="AB279" s="4" t="str">
        <f t="shared" si="37"/>
        <v>Cannot Calculate</v>
      </c>
      <c r="AC279" s="9">
        <f t="shared" si="38"/>
        <v>0</v>
      </c>
      <c r="AD279" t="s">
        <v>32</v>
      </c>
      <c r="AE279" t="s">
        <v>68</v>
      </c>
      <c r="AF279" t="str">
        <f t="shared" si="39"/>
        <v>Calculation Blocked</v>
      </c>
    </row>
    <row r="280" spans="1:32">
      <c r="A280" s="6" t="str">
        <f>IF(OR(I280&lt;0, ISTEXT(W280), ISTEXT(Y280)), "Invalid", IF(OR(B280="Conflicting Duplicate", M280="Unknown", S280="Unknown"), "Warning", "Valid"))</f>
        <v>Invalid</v>
      </c>
      <c r="B280" t="str">
        <f t="shared" si="33"/>
        <v>-</v>
      </c>
      <c r="C280" t="s">
        <v>1618</v>
      </c>
      <c r="D280" s="2">
        <v>45429</v>
      </c>
      <c r="E280" t="str">
        <f t="shared" si="34"/>
        <v>May</v>
      </c>
      <c r="F280">
        <f t="shared" si="35"/>
        <v>2024</v>
      </c>
      <c r="G280" s="2">
        <v>45434</v>
      </c>
      <c r="H280" t="s">
        <v>1619</v>
      </c>
      <c r="I280">
        <f t="shared" si="36"/>
        <v>5</v>
      </c>
      <c r="J280" t="s">
        <v>2795</v>
      </c>
      <c r="K280" t="s">
        <v>132</v>
      </c>
      <c r="L280" t="s">
        <v>24</v>
      </c>
      <c r="M280" t="s">
        <v>54</v>
      </c>
      <c r="N280" t="s">
        <v>185</v>
      </c>
      <c r="O280" t="s">
        <v>186</v>
      </c>
      <c r="P280" t="s">
        <v>74</v>
      </c>
      <c r="Q280" t="s">
        <v>171</v>
      </c>
      <c r="R280" t="s">
        <v>1620</v>
      </c>
      <c r="S280" t="s">
        <v>44</v>
      </c>
      <c r="T280">
        <v>9</v>
      </c>
      <c r="U280">
        <v>3795.99</v>
      </c>
      <c r="V280" s="5">
        <v>0.85</v>
      </c>
      <c r="W280" s="4" t="s">
        <v>2794</v>
      </c>
      <c r="X280">
        <v>34163.910000000003</v>
      </c>
      <c r="Y280" s="4" t="str">
        <f t="shared" si="32"/>
        <v>Cannot Calculate</v>
      </c>
      <c r="Z280">
        <v>28577.15</v>
      </c>
      <c r="AA280">
        <v>5586.76</v>
      </c>
      <c r="AB280" s="4" t="str">
        <f t="shared" si="37"/>
        <v>Cannot Calculate</v>
      </c>
      <c r="AC280" s="9">
        <f t="shared" si="38"/>
        <v>0</v>
      </c>
      <c r="AD280" t="s">
        <v>32</v>
      </c>
      <c r="AE280" t="s">
        <v>33</v>
      </c>
      <c r="AF280" t="str">
        <f t="shared" si="39"/>
        <v>Calculation Blocked</v>
      </c>
    </row>
    <row r="281" spans="1:32">
      <c r="A281" t="str">
        <f>IF(OR(I281&lt;0, ISTEXT(W281), ISTEXT(Y281)), "Invalid", IF(OR(B281="Conflicting Duplicate", M281="Unknown", S281="Unknown"), "Warning", "Valid"))</f>
        <v>Valid</v>
      </c>
      <c r="B281" t="str">
        <f t="shared" si="33"/>
        <v>-</v>
      </c>
      <c r="C281" t="s">
        <v>1621</v>
      </c>
      <c r="D281" s="2">
        <v>45515</v>
      </c>
      <c r="E281" t="str">
        <f t="shared" si="34"/>
        <v>August</v>
      </c>
      <c r="F281">
        <f t="shared" si="35"/>
        <v>2024</v>
      </c>
      <c r="G281" s="2">
        <v>45521</v>
      </c>
      <c r="H281" t="s">
        <v>816</v>
      </c>
      <c r="I281">
        <f t="shared" si="36"/>
        <v>6</v>
      </c>
      <c r="J281" t="s">
        <v>2795</v>
      </c>
      <c r="K281" t="s">
        <v>79</v>
      </c>
      <c r="L281" t="s">
        <v>24</v>
      </c>
      <c r="M281" t="s">
        <v>38</v>
      </c>
      <c r="N281" t="s">
        <v>228</v>
      </c>
      <c r="O281" t="s">
        <v>229</v>
      </c>
      <c r="P281" t="s">
        <v>28</v>
      </c>
      <c r="Q281" t="s">
        <v>48</v>
      </c>
      <c r="R281" t="s">
        <v>1622</v>
      </c>
      <c r="S281" t="s">
        <v>31</v>
      </c>
      <c r="T281">
        <v>6</v>
      </c>
      <c r="U281">
        <v>3497.54</v>
      </c>
      <c r="V281">
        <v>0.15</v>
      </c>
      <c r="W281">
        <v>0.15</v>
      </c>
      <c r="X281">
        <v>17837.45</v>
      </c>
      <c r="Y281">
        <f t="shared" si="32"/>
        <v>17837.45</v>
      </c>
      <c r="Z281">
        <v>13627.02</v>
      </c>
      <c r="AA281">
        <v>4210.43</v>
      </c>
      <c r="AB281">
        <f t="shared" si="37"/>
        <v>4210.43</v>
      </c>
      <c r="AC281" s="8">
        <f t="shared" si="38"/>
        <v>0.23604438975301964</v>
      </c>
      <c r="AD281" t="s">
        <v>32</v>
      </c>
      <c r="AE281" t="s">
        <v>33</v>
      </c>
      <c r="AF281" t="str">
        <f t="shared" si="39"/>
        <v>Perfect Match</v>
      </c>
    </row>
    <row r="282" spans="1:32">
      <c r="A282" t="str">
        <f>IF(OR(I282&lt;0, ISTEXT(W282), ISTEXT(Y282)), "Invalid", IF(OR(B282="Conflicting Duplicate", M282="Unknown", S282="Unknown"), "Warning", "Valid"))</f>
        <v>Valid</v>
      </c>
      <c r="B282" t="str">
        <f t="shared" si="33"/>
        <v>-</v>
      </c>
      <c r="C282" t="s">
        <v>1623</v>
      </c>
      <c r="D282" s="2">
        <v>45383</v>
      </c>
      <c r="E282" t="str">
        <f t="shared" si="34"/>
        <v>April</v>
      </c>
      <c r="F282">
        <f t="shared" si="35"/>
        <v>2024</v>
      </c>
      <c r="G282" s="2">
        <v>45391</v>
      </c>
      <c r="H282" t="s">
        <v>1624</v>
      </c>
      <c r="I282">
        <f t="shared" si="36"/>
        <v>8</v>
      </c>
      <c r="J282" t="s">
        <v>2795</v>
      </c>
      <c r="K282" t="s">
        <v>114</v>
      </c>
      <c r="L282" t="s">
        <v>37</v>
      </c>
      <c r="M282" t="s">
        <v>38</v>
      </c>
      <c r="N282" t="s">
        <v>39</v>
      </c>
      <c r="O282" t="s">
        <v>40</v>
      </c>
      <c r="P282" t="s">
        <v>74</v>
      </c>
      <c r="Q282" t="s">
        <v>80</v>
      </c>
      <c r="R282" t="s">
        <v>1625</v>
      </c>
      <c r="S282" t="s">
        <v>31</v>
      </c>
      <c r="T282">
        <v>6</v>
      </c>
      <c r="U282">
        <v>826.93</v>
      </c>
      <c r="V282">
        <v>0.1</v>
      </c>
      <c r="W282">
        <v>0.1</v>
      </c>
      <c r="X282">
        <v>4465.42</v>
      </c>
      <c r="Y282">
        <f t="shared" si="32"/>
        <v>4465.42</v>
      </c>
      <c r="Z282">
        <v>3377.1</v>
      </c>
      <c r="AA282">
        <v>1088.32</v>
      </c>
      <c r="AB282">
        <f t="shared" si="37"/>
        <v>1088.3200000000002</v>
      </c>
      <c r="AC282" s="8">
        <f t="shared" si="38"/>
        <v>0.24372175517644482</v>
      </c>
      <c r="AD282" t="s">
        <v>32</v>
      </c>
      <c r="AE282" t="s">
        <v>33</v>
      </c>
      <c r="AF282" t="str">
        <f t="shared" si="39"/>
        <v>Perfect Match</v>
      </c>
    </row>
    <row r="283" spans="1:32">
      <c r="A283" t="str">
        <f>IF(OR(I283&lt;0, ISTEXT(W283), ISTEXT(Y283)), "Invalid", IF(OR(B283="Conflicting Duplicate", M283="Unknown", S283="Unknown"), "Warning", "Valid"))</f>
        <v>Valid</v>
      </c>
      <c r="B283" t="str">
        <f t="shared" si="33"/>
        <v>-</v>
      </c>
      <c r="C283" t="s">
        <v>1626</v>
      </c>
      <c r="D283" s="2">
        <v>45563</v>
      </c>
      <c r="E283" t="str">
        <f t="shared" si="34"/>
        <v>September</v>
      </c>
      <c r="F283">
        <f t="shared" si="35"/>
        <v>2024</v>
      </c>
      <c r="G283" s="2">
        <v>45570</v>
      </c>
      <c r="H283" t="s">
        <v>1627</v>
      </c>
      <c r="I283">
        <f t="shared" si="36"/>
        <v>7</v>
      </c>
      <c r="J283" t="s">
        <v>2795</v>
      </c>
      <c r="K283" t="s">
        <v>128</v>
      </c>
      <c r="L283" t="s">
        <v>24</v>
      </c>
      <c r="M283" t="s">
        <v>54</v>
      </c>
      <c r="N283" t="s">
        <v>247</v>
      </c>
      <c r="O283" t="s">
        <v>248</v>
      </c>
      <c r="P283" t="s">
        <v>74</v>
      </c>
      <c r="Q283" t="s">
        <v>171</v>
      </c>
      <c r="R283" t="s">
        <v>1628</v>
      </c>
      <c r="S283" t="s">
        <v>59</v>
      </c>
      <c r="T283">
        <v>7</v>
      </c>
      <c r="U283">
        <v>1681.6</v>
      </c>
      <c r="V283">
        <v>0.1</v>
      </c>
      <c r="W283">
        <v>0.1</v>
      </c>
      <c r="X283">
        <v>10594.08</v>
      </c>
      <c r="Y283">
        <f t="shared" si="32"/>
        <v>10594.08</v>
      </c>
      <c r="Z283">
        <v>7160.31</v>
      </c>
      <c r="AA283">
        <v>3433.77</v>
      </c>
      <c r="AB283">
        <f t="shared" si="37"/>
        <v>3433.7699999999995</v>
      </c>
      <c r="AC283" s="8">
        <f t="shared" si="38"/>
        <v>0.32412158488514337</v>
      </c>
      <c r="AD283" t="s">
        <v>32</v>
      </c>
      <c r="AE283" t="s">
        <v>33</v>
      </c>
      <c r="AF283" t="str">
        <f t="shared" si="39"/>
        <v>Perfect Match</v>
      </c>
    </row>
    <row r="284" spans="1:32">
      <c r="A284" t="str">
        <f>IF(OR(I284&lt;0, ISTEXT(W284), ISTEXT(Y284)), "Invalid", IF(OR(B284="Conflicting Duplicate", M284="Unknown", S284="Unknown"), "Warning", "Valid"))</f>
        <v>Valid</v>
      </c>
      <c r="B284" t="str">
        <f t="shared" si="33"/>
        <v>-</v>
      </c>
      <c r="C284" t="s">
        <v>1632</v>
      </c>
      <c r="D284" s="2">
        <v>45605</v>
      </c>
      <c r="E284" t="str">
        <f t="shared" si="34"/>
        <v>November</v>
      </c>
      <c r="F284">
        <f t="shared" si="35"/>
        <v>2024</v>
      </c>
      <c r="G284" s="2">
        <v>45610</v>
      </c>
      <c r="H284" t="s">
        <v>1633</v>
      </c>
      <c r="I284">
        <f t="shared" si="36"/>
        <v>5</v>
      </c>
      <c r="J284" t="s">
        <v>2795</v>
      </c>
      <c r="K284" t="s">
        <v>79</v>
      </c>
      <c r="L284" t="s">
        <v>90</v>
      </c>
      <c r="M284" t="s">
        <v>63</v>
      </c>
      <c r="N284" t="s">
        <v>72</v>
      </c>
      <c r="O284" t="s">
        <v>73</v>
      </c>
      <c r="P284" t="s">
        <v>28</v>
      </c>
      <c r="Q284" t="s">
        <v>48</v>
      </c>
      <c r="R284" t="s">
        <v>1634</v>
      </c>
      <c r="S284" t="s">
        <v>50</v>
      </c>
      <c r="T284">
        <v>9</v>
      </c>
      <c r="U284">
        <v>2438.29</v>
      </c>
      <c r="V284">
        <v>0.2</v>
      </c>
      <c r="W284">
        <v>0.2</v>
      </c>
      <c r="X284">
        <v>17555.689999999999</v>
      </c>
      <c r="Y284">
        <f t="shared" si="32"/>
        <v>17555.689999999999</v>
      </c>
      <c r="Z284">
        <v>13293.2</v>
      </c>
      <c r="AA284">
        <v>4262.49</v>
      </c>
      <c r="AB284">
        <f t="shared" si="37"/>
        <v>4262.489999999998</v>
      </c>
      <c r="AC284" s="8">
        <f t="shared" si="38"/>
        <v>0.24279820388717266</v>
      </c>
      <c r="AD284" t="s">
        <v>32</v>
      </c>
      <c r="AE284" t="s">
        <v>68</v>
      </c>
      <c r="AF284" t="str">
        <f t="shared" si="39"/>
        <v>Perfect Match</v>
      </c>
    </row>
    <row r="285" spans="1:32">
      <c r="A285" t="str">
        <f>IF(OR(I285&lt;0, ISTEXT(W285), ISTEXT(Y285)), "Invalid", IF(OR(B285="Conflicting Duplicate", M285="Unknown", S285="Unknown"), "Warning", "Valid"))</f>
        <v>Valid</v>
      </c>
      <c r="B285" t="str">
        <f t="shared" si="33"/>
        <v>-</v>
      </c>
      <c r="C285" t="s">
        <v>1635</v>
      </c>
      <c r="D285" s="2">
        <v>45641</v>
      </c>
      <c r="E285" t="str">
        <f t="shared" si="34"/>
        <v>December</v>
      </c>
      <c r="F285">
        <f t="shared" si="35"/>
        <v>2024</v>
      </c>
      <c r="G285" s="2">
        <v>45641</v>
      </c>
      <c r="H285" t="s">
        <v>1636</v>
      </c>
      <c r="I285">
        <f t="shared" si="36"/>
        <v>0</v>
      </c>
      <c r="J285" t="s">
        <v>2795</v>
      </c>
      <c r="K285" t="s">
        <v>128</v>
      </c>
      <c r="L285" t="s">
        <v>37</v>
      </c>
      <c r="M285" t="s">
        <v>25</v>
      </c>
      <c r="N285" t="s">
        <v>122</v>
      </c>
      <c r="O285" t="s">
        <v>123</v>
      </c>
      <c r="P285" t="s">
        <v>41</v>
      </c>
      <c r="Q285" t="s">
        <v>57</v>
      </c>
      <c r="R285" t="s">
        <v>1637</v>
      </c>
      <c r="S285" t="s">
        <v>50</v>
      </c>
      <c r="T285">
        <v>2</v>
      </c>
      <c r="U285">
        <v>669.8</v>
      </c>
      <c r="V285">
        <v>0.1</v>
      </c>
      <c r="W285">
        <v>0.1</v>
      </c>
      <c r="X285">
        <v>1205.6400000000001</v>
      </c>
      <c r="Y285">
        <f t="shared" si="32"/>
        <v>1205.6400000000001</v>
      </c>
      <c r="Z285">
        <v>842.07</v>
      </c>
      <c r="AA285">
        <v>363.57</v>
      </c>
      <c r="AB285">
        <f t="shared" si="37"/>
        <v>363.57000000000005</v>
      </c>
      <c r="AC285" s="8">
        <f t="shared" si="38"/>
        <v>0.3015576789091271</v>
      </c>
      <c r="AD285" t="s">
        <v>102</v>
      </c>
      <c r="AE285" t="s">
        <v>103</v>
      </c>
      <c r="AF285" t="str">
        <f t="shared" si="39"/>
        <v>Perfect Match</v>
      </c>
    </row>
    <row r="286" spans="1:32">
      <c r="A286" t="str">
        <f>IF(OR(I286&lt;0, ISTEXT(W286), ISTEXT(Y286)), "Invalid", IF(OR(B286="Conflicting Duplicate", M286="Unknown", S286="Unknown"), "Warning", "Valid"))</f>
        <v>Valid</v>
      </c>
      <c r="B286" t="str">
        <f t="shared" si="33"/>
        <v>-</v>
      </c>
      <c r="C286" t="s">
        <v>1641</v>
      </c>
      <c r="D286" s="2">
        <v>45382</v>
      </c>
      <c r="E286" t="str">
        <f t="shared" si="34"/>
        <v>March</v>
      </c>
      <c r="F286">
        <f t="shared" si="35"/>
        <v>2024</v>
      </c>
      <c r="G286" s="2">
        <v>45477</v>
      </c>
      <c r="H286" t="s">
        <v>1642</v>
      </c>
      <c r="I286">
        <f t="shared" si="36"/>
        <v>95</v>
      </c>
      <c r="J286" t="s">
        <v>2795</v>
      </c>
      <c r="K286" t="s">
        <v>47</v>
      </c>
      <c r="L286" t="s">
        <v>37</v>
      </c>
      <c r="M286" t="s">
        <v>25</v>
      </c>
      <c r="N286" t="s">
        <v>236</v>
      </c>
      <c r="O286" t="s">
        <v>237</v>
      </c>
      <c r="P286" t="s">
        <v>74</v>
      </c>
      <c r="Q286" t="s">
        <v>274</v>
      </c>
      <c r="R286" t="s">
        <v>1643</v>
      </c>
      <c r="S286" t="s">
        <v>31</v>
      </c>
      <c r="T286">
        <v>4</v>
      </c>
      <c r="U286">
        <v>1831</v>
      </c>
      <c r="V286">
        <v>0</v>
      </c>
      <c r="W286">
        <v>0</v>
      </c>
      <c r="X286">
        <v>7324</v>
      </c>
      <c r="Y286">
        <f t="shared" si="32"/>
        <v>7324</v>
      </c>
      <c r="Z286">
        <v>4179.63</v>
      </c>
      <c r="AA286">
        <v>3144.37</v>
      </c>
      <c r="AB286">
        <f t="shared" si="37"/>
        <v>3144.37</v>
      </c>
      <c r="AC286" s="8">
        <f t="shared" si="38"/>
        <v>0.42932413981430911</v>
      </c>
      <c r="AD286" t="s">
        <v>32</v>
      </c>
      <c r="AE286" t="s">
        <v>33</v>
      </c>
      <c r="AF286" t="str">
        <f t="shared" si="39"/>
        <v>Perfect Match</v>
      </c>
    </row>
    <row r="287" spans="1:32">
      <c r="A287" t="str">
        <f>IF(OR(I287&lt;0, ISTEXT(W287), ISTEXT(Y287)), "Invalid", IF(OR(B287="Conflicting Duplicate", M287="Unknown", S287="Unknown"), "Warning", "Valid"))</f>
        <v>Valid</v>
      </c>
      <c r="B287" t="str">
        <f t="shared" si="33"/>
        <v>-</v>
      </c>
      <c r="C287" t="s">
        <v>1647</v>
      </c>
      <c r="D287" s="2">
        <v>45583</v>
      </c>
      <c r="E287" t="str">
        <f t="shared" si="34"/>
        <v>October</v>
      </c>
      <c r="F287">
        <f t="shared" si="35"/>
        <v>2024</v>
      </c>
      <c r="G287" s="2">
        <v>45586</v>
      </c>
      <c r="H287" t="s">
        <v>1648</v>
      </c>
      <c r="I287">
        <f t="shared" si="36"/>
        <v>3</v>
      </c>
      <c r="J287" t="s">
        <v>2795</v>
      </c>
      <c r="K287" t="s">
        <v>128</v>
      </c>
      <c r="L287" t="s">
        <v>24</v>
      </c>
      <c r="M287" t="s">
        <v>54</v>
      </c>
      <c r="N287" t="s">
        <v>175</v>
      </c>
      <c r="O287" t="s">
        <v>176</v>
      </c>
      <c r="P287" t="s">
        <v>28</v>
      </c>
      <c r="Q287" t="s">
        <v>124</v>
      </c>
      <c r="R287" t="s">
        <v>1649</v>
      </c>
      <c r="S287" t="s">
        <v>31</v>
      </c>
      <c r="T287">
        <v>2</v>
      </c>
      <c r="U287">
        <v>4238.51</v>
      </c>
      <c r="V287">
        <v>0</v>
      </c>
      <c r="W287">
        <v>0</v>
      </c>
      <c r="X287">
        <v>8477.02</v>
      </c>
      <c r="Y287">
        <f t="shared" si="32"/>
        <v>8477.02</v>
      </c>
      <c r="Z287">
        <v>6884.96</v>
      </c>
      <c r="AA287">
        <v>1592.06</v>
      </c>
      <c r="AB287">
        <f t="shared" si="37"/>
        <v>1592.0600000000004</v>
      </c>
      <c r="AC287" s="8">
        <f t="shared" si="38"/>
        <v>0.18780892341884298</v>
      </c>
      <c r="AD287" t="s">
        <v>32</v>
      </c>
      <c r="AE287" t="s">
        <v>33</v>
      </c>
      <c r="AF287" t="str">
        <f t="shared" si="39"/>
        <v>Perfect Match</v>
      </c>
    </row>
    <row r="288" spans="1:32">
      <c r="A288" t="str">
        <f>IF(OR(I288&lt;0, ISTEXT(W288), ISTEXT(Y288)), "Invalid", IF(OR(B288="Conflicting Duplicate", M288="Unknown", S288="Unknown"), "Warning", "Valid"))</f>
        <v>Valid</v>
      </c>
      <c r="B288" t="str">
        <f t="shared" si="33"/>
        <v>-</v>
      </c>
      <c r="C288" t="s">
        <v>1650</v>
      </c>
      <c r="D288" s="2">
        <v>45588</v>
      </c>
      <c r="E288" t="str">
        <f t="shared" si="34"/>
        <v>October</v>
      </c>
      <c r="F288">
        <f t="shared" si="35"/>
        <v>2024</v>
      </c>
      <c r="G288" s="2">
        <v>45591</v>
      </c>
      <c r="H288" t="s">
        <v>1651</v>
      </c>
      <c r="I288">
        <f t="shared" si="36"/>
        <v>3</v>
      </c>
      <c r="J288" t="s">
        <v>2795</v>
      </c>
      <c r="K288" t="s">
        <v>132</v>
      </c>
      <c r="L288" t="s">
        <v>24</v>
      </c>
      <c r="M288" t="s">
        <v>63</v>
      </c>
      <c r="N288" t="s">
        <v>72</v>
      </c>
      <c r="O288" t="s">
        <v>73</v>
      </c>
      <c r="P288" t="s">
        <v>41</v>
      </c>
      <c r="Q288" t="s">
        <v>158</v>
      </c>
      <c r="R288" t="s">
        <v>1652</v>
      </c>
      <c r="S288" t="s">
        <v>59</v>
      </c>
      <c r="T288">
        <v>9</v>
      </c>
      <c r="U288">
        <v>544.27</v>
      </c>
      <c r="V288">
        <v>0.25</v>
      </c>
      <c r="W288">
        <v>0.25</v>
      </c>
      <c r="X288">
        <v>3673.82</v>
      </c>
      <c r="Y288">
        <f t="shared" si="32"/>
        <v>3673.82</v>
      </c>
      <c r="Z288">
        <v>2088.15</v>
      </c>
      <c r="AA288">
        <v>1585.67</v>
      </c>
      <c r="AB288">
        <f t="shared" si="37"/>
        <v>1585.67</v>
      </c>
      <c r="AC288" s="8">
        <f t="shared" si="38"/>
        <v>0.43161341600840541</v>
      </c>
      <c r="AD288" t="s">
        <v>32</v>
      </c>
      <c r="AE288" t="s">
        <v>33</v>
      </c>
      <c r="AF288" t="str">
        <f t="shared" si="39"/>
        <v>Perfect Match</v>
      </c>
    </row>
    <row r="289" spans="1:32">
      <c r="A289" t="str">
        <f>IF(OR(I289&lt;0, ISTEXT(W289), ISTEXT(Y289)), "Invalid", IF(OR(B289="Conflicting Duplicate", M289="Unknown", S289="Unknown"), "Warning", "Valid"))</f>
        <v>Valid</v>
      </c>
      <c r="B289" t="str">
        <f t="shared" si="33"/>
        <v>-</v>
      </c>
      <c r="C289" t="s">
        <v>1658</v>
      </c>
      <c r="D289" s="2">
        <v>45614</v>
      </c>
      <c r="E289" t="str">
        <f t="shared" si="34"/>
        <v>November</v>
      </c>
      <c r="F289">
        <f t="shared" si="35"/>
        <v>2024</v>
      </c>
      <c r="G289" s="2">
        <v>45618</v>
      </c>
      <c r="H289" t="s">
        <v>1659</v>
      </c>
      <c r="I289">
        <f t="shared" si="36"/>
        <v>4</v>
      </c>
      <c r="J289" t="s">
        <v>2795</v>
      </c>
      <c r="K289" t="s">
        <v>23</v>
      </c>
      <c r="L289" t="s">
        <v>95</v>
      </c>
      <c r="M289" t="s">
        <v>54</v>
      </c>
      <c r="N289" t="s">
        <v>185</v>
      </c>
      <c r="O289" t="s">
        <v>186</v>
      </c>
      <c r="P289" t="s">
        <v>74</v>
      </c>
      <c r="Q289" t="s">
        <v>75</v>
      </c>
      <c r="R289" t="s">
        <v>1660</v>
      </c>
      <c r="S289" t="s">
        <v>59</v>
      </c>
      <c r="T289">
        <v>6</v>
      </c>
      <c r="U289">
        <v>3872.94</v>
      </c>
      <c r="V289">
        <v>0.1</v>
      </c>
      <c r="W289">
        <v>0.1</v>
      </c>
      <c r="X289">
        <v>20913.88</v>
      </c>
      <c r="Y289">
        <f t="shared" si="32"/>
        <v>20913.88</v>
      </c>
      <c r="Z289">
        <v>11684.68</v>
      </c>
      <c r="AA289">
        <v>9229.2000000000007</v>
      </c>
      <c r="AB289">
        <f t="shared" si="37"/>
        <v>9229.2000000000007</v>
      </c>
      <c r="AC289" s="8">
        <f t="shared" si="38"/>
        <v>0.44129544589526193</v>
      </c>
      <c r="AD289" t="s">
        <v>32</v>
      </c>
      <c r="AE289" t="s">
        <v>33</v>
      </c>
      <c r="AF289" t="str">
        <f t="shared" si="39"/>
        <v>Perfect Match</v>
      </c>
    </row>
    <row r="290" spans="1:32">
      <c r="A290" t="str">
        <f>IF(OR(I290&lt;0, ISTEXT(W290), ISTEXT(Y290)), "Invalid", IF(OR(B290="Conflicting Duplicate", M290="Unknown", S290="Unknown"), "Warning", "Valid"))</f>
        <v>Valid</v>
      </c>
      <c r="B290" t="str">
        <f t="shared" si="33"/>
        <v>-</v>
      </c>
      <c r="C290" t="s">
        <v>1664</v>
      </c>
      <c r="D290" s="2">
        <v>45563</v>
      </c>
      <c r="E290" t="str">
        <f t="shared" si="34"/>
        <v>September</v>
      </c>
      <c r="F290">
        <f t="shared" si="35"/>
        <v>2024</v>
      </c>
      <c r="G290" s="2">
        <v>45569</v>
      </c>
      <c r="H290" t="s">
        <v>1665</v>
      </c>
      <c r="I290">
        <f t="shared" si="36"/>
        <v>6</v>
      </c>
      <c r="J290" t="s">
        <v>2795</v>
      </c>
      <c r="K290" t="s">
        <v>264</v>
      </c>
      <c r="L290" t="s">
        <v>95</v>
      </c>
      <c r="M290" t="s">
        <v>25</v>
      </c>
      <c r="N290" t="s">
        <v>350</v>
      </c>
      <c r="O290" t="s">
        <v>351</v>
      </c>
      <c r="P290" t="s">
        <v>74</v>
      </c>
      <c r="Q290" t="s">
        <v>80</v>
      </c>
      <c r="R290" t="s">
        <v>1666</v>
      </c>
      <c r="S290" t="s">
        <v>59</v>
      </c>
      <c r="T290">
        <v>1</v>
      </c>
      <c r="U290">
        <v>2233.1799999999998</v>
      </c>
      <c r="V290">
        <v>0</v>
      </c>
      <c r="W290">
        <v>0</v>
      </c>
      <c r="X290">
        <v>2233.1799999999998</v>
      </c>
      <c r="Y290">
        <f t="shared" si="32"/>
        <v>2233.1799999999998</v>
      </c>
      <c r="Z290">
        <v>1585.82</v>
      </c>
      <c r="AA290">
        <v>647.36</v>
      </c>
      <c r="AB290">
        <f t="shared" si="37"/>
        <v>647.3599999999999</v>
      </c>
      <c r="AC290" s="8">
        <f t="shared" si="38"/>
        <v>0.28988258895386843</v>
      </c>
      <c r="AD290" t="s">
        <v>155</v>
      </c>
      <c r="AE290" t="s">
        <v>103</v>
      </c>
      <c r="AF290" t="str">
        <f t="shared" si="39"/>
        <v>Perfect Match</v>
      </c>
    </row>
    <row r="291" spans="1:32">
      <c r="A291" t="str">
        <f>IF(OR(I291&lt;0, ISTEXT(W291), ISTEXT(Y291)), "Invalid", IF(OR(B291="Conflicting Duplicate", M291="Unknown", S291="Unknown"), "Warning", "Valid"))</f>
        <v>Valid</v>
      </c>
      <c r="B291" t="str">
        <f t="shared" si="33"/>
        <v>-</v>
      </c>
      <c r="C291" t="s">
        <v>1676</v>
      </c>
      <c r="D291" s="2">
        <v>45489</v>
      </c>
      <c r="E291" t="str">
        <f t="shared" si="34"/>
        <v>July</v>
      </c>
      <c r="F291">
        <f t="shared" si="35"/>
        <v>2024</v>
      </c>
      <c r="G291" s="2">
        <v>45496</v>
      </c>
      <c r="H291" t="s">
        <v>1677</v>
      </c>
      <c r="I291">
        <f t="shared" si="36"/>
        <v>7</v>
      </c>
      <c r="J291" t="s">
        <v>2795</v>
      </c>
      <c r="K291" t="s">
        <v>128</v>
      </c>
      <c r="L291" t="s">
        <v>95</v>
      </c>
      <c r="M291" t="s">
        <v>54</v>
      </c>
      <c r="N291" t="s">
        <v>175</v>
      </c>
      <c r="O291" t="s">
        <v>176</v>
      </c>
      <c r="P291" t="s">
        <v>74</v>
      </c>
      <c r="Q291" t="s">
        <v>274</v>
      </c>
      <c r="R291" t="s">
        <v>1678</v>
      </c>
      <c r="S291" t="s">
        <v>44</v>
      </c>
      <c r="T291">
        <v>1</v>
      </c>
      <c r="U291">
        <v>1695.91</v>
      </c>
      <c r="V291">
        <v>0.05</v>
      </c>
      <c r="W291">
        <v>0.05</v>
      </c>
      <c r="X291">
        <v>1611.11</v>
      </c>
      <c r="Y291">
        <f t="shared" si="32"/>
        <v>1611.11</v>
      </c>
      <c r="Z291">
        <v>895.15</v>
      </c>
      <c r="AA291">
        <v>715.96</v>
      </c>
      <c r="AB291">
        <f t="shared" si="37"/>
        <v>715.95999999999992</v>
      </c>
      <c r="AC291" s="8">
        <f t="shared" si="38"/>
        <v>0.44438927199260136</v>
      </c>
      <c r="AD291" t="s">
        <v>32</v>
      </c>
      <c r="AE291" t="s">
        <v>33</v>
      </c>
      <c r="AF291" t="str">
        <f t="shared" si="39"/>
        <v>Perfect Match</v>
      </c>
    </row>
    <row r="292" spans="1:32">
      <c r="A292" t="str">
        <f>IF(OR(I292&lt;0, ISTEXT(W292), ISTEXT(Y292)), "Invalid", IF(OR(B292="Conflicting Duplicate", M292="Unknown", S292="Unknown"), "Warning", "Valid"))</f>
        <v>Valid</v>
      </c>
      <c r="B292" t="str">
        <f t="shared" si="33"/>
        <v>-</v>
      </c>
      <c r="C292" t="s">
        <v>1685</v>
      </c>
      <c r="D292" s="2">
        <v>45326</v>
      </c>
      <c r="E292" t="str">
        <f t="shared" si="34"/>
        <v>February</v>
      </c>
      <c r="F292">
        <f t="shared" si="35"/>
        <v>2024</v>
      </c>
      <c r="G292" s="2">
        <v>45385</v>
      </c>
      <c r="H292" t="s">
        <v>1686</v>
      </c>
      <c r="I292">
        <f t="shared" si="36"/>
        <v>59</v>
      </c>
      <c r="J292" t="s">
        <v>2795</v>
      </c>
      <c r="K292" t="s">
        <v>264</v>
      </c>
      <c r="L292" t="s">
        <v>95</v>
      </c>
      <c r="M292" t="s">
        <v>63</v>
      </c>
      <c r="N292" t="s">
        <v>190</v>
      </c>
      <c r="O292" t="s">
        <v>191</v>
      </c>
      <c r="P292" t="s">
        <v>28</v>
      </c>
      <c r="Q292" t="s">
        <v>29</v>
      </c>
      <c r="R292" t="s">
        <v>1687</v>
      </c>
      <c r="S292" t="s">
        <v>31</v>
      </c>
      <c r="T292">
        <v>2</v>
      </c>
      <c r="U292">
        <v>2902.63</v>
      </c>
      <c r="V292">
        <v>0</v>
      </c>
      <c r="W292">
        <v>0</v>
      </c>
      <c r="X292">
        <v>5805.26</v>
      </c>
      <c r="Y292">
        <f t="shared" si="32"/>
        <v>5805.26</v>
      </c>
      <c r="Z292">
        <v>4654.3599999999997</v>
      </c>
      <c r="AA292">
        <v>1150.9000000000001</v>
      </c>
      <c r="AB292">
        <f t="shared" si="37"/>
        <v>1150.9000000000005</v>
      </c>
      <c r="AC292" s="8">
        <f t="shared" si="38"/>
        <v>0.19825124111581574</v>
      </c>
      <c r="AD292" t="s">
        <v>32</v>
      </c>
      <c r="AE292" t="s">
        <v>103</v>
      </c>
      <c r="AF292" t="str">
        <f t="shared" si="39"/>
        <v>Perfect Match</v>
      </c>
    </row>
    <row r="293" spans="1:32">
      <c r="A293" t="str">
        <f>IF(OR(I293&lt;0, ISTEXT(W293), ISTEXT(Y293)), "Invalid", IF(OR(B293="Conflicting Duplicate", M293="Unknown", S293="Unknown"), "Warning", "Valid"))</f>
        <v>Valid</v>
      </c>
      <c r="B293" t="str">
        <f t="shared" si="33"/>
        <v>-</v>
      </c>
      <c r="C293" t="s">
        <v>1688</v>
      </c>
      <c r="D293" s="2">
        <v>45626</v>
      </c>
      <c r="E293" t="str">
        <f t="shared" si="34"/>
        <v>November</v>
      </c>
      <c r="F293">
        <f t="shared" si="35"/>
        <v>2024</v>
      </c>
      <c r="G293" s="2">
        <v>45627</v>
      </c>
      <c r="H293" t="s">
        <v>1689</v>
      </c>
      <c r="I293">
        <f t="shared" si="36"/>
        <v>1</v>
      </c>
      <c r="J293" t="s">
        <v>2795</v>
      </c>
      <c r="K293" t="s">
        <v>62</v>
      </c>
      <c r="L293" t="s">
        <v>90</v>
      </c>
      <c r="M293" t="s">
        <v>63</v>
      </c>
      <c r="N293" t="s">
        <v>180</v>
      </c>
      <c r="O293" t="s">
        <v>181</v>
      </c>
      <c r="P293" t="s">
        <v>41</v>
      </c>
      <c r="Q293" t="s">
        <v>66</v>
      </c>
      <c r="R293" t="s">
        <v>1690</v>
      </c>
      <c r="S293" t="s">
        <v>50</v>
      </c>
      <c r="T293">
        <v>9</v>
      </c>
      <c r="U293">
        <v>4207.3599999999997</v>
      </c>
      <c r="V293">
        <v>0.1</v>
      </c>
      <c r="W293">
        <v>0.1</v>
      </c>
      <c r="X293">
        <v>34079.620000000003</v>
      </c>
      <c r="Y293">
        <f t="shared" si="32"/>
        <v>34079.620000000003</v>
      </c>
      <c r="Z293">
        <v>21871.39</v>
      </c>
      <c r="AA293">
        <v>12208.23</v>
      </c>
      <c r="AB293">
        <f t="shared" si="37"/>
        <v>12208.230000000003</v>
      </c>
      <c r="AC293" s="8">
        <f t="shared" si="38"/>
        <v>0.35822670557946368</v>
      </c>
      <c r="AD293" t="s">
        <v>32</v>
      </c>
      <c r="AE293" t="s">
        <v>33</v>
      </c>
      <c r="AF293" t="str">
        <f t="shared" si="39"/>
        <v>Perfect Match</v>
      </c>
    </row>
    <row r="294" spans="1:32">
      <c r="A294" t="str">
        <f>IF(OR(I294&lt;0, ISTEXT(W294), ISTEXT(Y294)), "Invalid", IF(OR(B294="Conflicting Duplicate", M294="Unknown", S294="Unknown"), "Warning", "Valid"))</f>
        <v>Valid</v>
      </c>
      <c r="B294" t="str">
        <f t="shared" si="33"/>
        <v>-</v>
      </c>
      <c r="C294" t="s">
        <v>1691</v>
      </c>
      <c r="D294" s="2">
        <v>45582</v>
      </c>
      <c r="E294" t="str">
        <f t="shared" si="34"/>
        <v>October</v>
      </c>
      <c r="F294">
        <f t="shared" si="35"/>
        <v>2024</v>
      </c>
      <c r="G294" s="2">
        <v>45582</v>
      </c>
      <c r="H294" t="s">
        <v>1692</v>
      </c>
      <c r="I294">
        <f t="shared" si="36"/>
        <v>0</v>
      </c>
      <c r="J294" t="s">
        <v>2795</v>
      </c>
      <c r="K294" t="s">
        <v>114</v>
      </c>
      <c r="L294" t="s">
        <v>95</v>
      </c>
      <c r="M294" t="s">
        <v>38</v>
      </c>
      <c r="N294" t="s">
        <v>99</v>
      </c>
      <c r="O294" t="s">
        <v>100</v>
      </c>
      <c r="P294" t="s">
        <v>41</v>
      </c>
      <c r="Q294" t="s">
        <v>66</v>
      </c>
      <c r="R294" t="s">
        <v>1693</v>
      </c>
      <c r="S294" t="s">
        <v>59</v>
      </c>
      <c r="T294">
        <v>5</v>
      </c>
      <c r="U294">
        <v>2524.4</v>
      </c>
      <c r="V294">
        <v>0.1</v>
      </c>
      <c r="W294">
        <v>0.1</v>
      </c>
      <c r="X294">
        <v>11359.8</v>
      </c>
      <c r="Y294">
        <f t="shared" si="32"/>
        <v>11359.8</v>
      </c>
      <c r="Z294">
        <v>7062.44</v>
      </c>
      <c r="AA294">
        <v>4297.3599999999997</v>
      </c>
      <c r="AB294">
        <f t="shared" si="37"/>
        <v>4297.3599999999997</v>
      </c>
      <c r="AC294" s="8">
        <f t="shared" si="38"/>
        <v>0.37829539252451627</v>
      </c>
      <c r="AD294" t="s">
        <v>32</v>
      </c>
      <c r="AE294" t="s">
        <v>33</v>
      </c>
      <c r="AF294" t="str">
        <f t="shared" si="39"/>
        <v>Perfect Match</v>
      </c>
    </row>
    <row r="295" spans="1:32">
      <c r="A295" s="6" t="str">
        <f>IF(OR(I295&lt;0, ISTEXT(W295), ISTEXT(Y295)), "Invalid", IF(OR(B295="Conflicting Duplicate", M295="Unknown", S295="Unknown"), "Warning", "Valid"))</f>
        <v>Invalid</v>
      </c>
      <c r="B295" t="str">
        <f t="shared" si="33"/>
        <v>-</v>
      </c>
      <c r="C295" t="s">
        <v>1700</v>
      </c>
      <c r="D295" s="2">
        <v>45572</v>
      </c>
      <c r="E295" t="str">
        <f t="shared" si="34"/>
        <v>October</v>
      </c>
      <c r="F295">
        <f t="shared" si="35"/>
        <v>2024</v>
      </c>
      <c r="G295" s="2">
        <v>45545</v>
      </c>
      <c r="H295" t="s">
        <v>1701</v>
      </c>
      <c r="I295" s="7">
        <f t="shared" si="36"/>
        <v>-27</v>
      </c>
      <c r="J295" s="7" t="s">
        <v>2802</v>
      </c>
      <c r="K295" t="s">
        <v>162</v>
      </c>
      <c r="L295" t="s">
        <v>24</v>
      </c>
      <c r="M295" t="s">
        <v>54</v>
      </c>
      <c r="N295" t="s">
        <v>247</v>
      </c>
      <c r="O295" t="s">
        <v>248</v>
      </c>
      <c r="P295" t="s">
        <v>28</v>
      </c>
      <c r="Q295" t="s">
        <v>153</v>
      </c>
      <c r="R295" t="s">
        <v>1702</v>
      </c>
      <c r="S295" t="s">
        <v>59</v>
      </c>
      <c r="T295">
        <v>9</v>
      </c>
      <c r="U295">
        <v>3457.09</v>
      </c>
      <c r="V295">
        <v>0.05</v>
      </c>
      <c r="W295">
        <v>0.05</v>
      </c>
      <c r="X295">
        <v>29558.12</v>
      </c>
      <c r="Y295">
        <f t="shared" si="32"/>
        <v>29558.12</v>
      </c>
      <c r="Z295">
        <v>21302.13</v>
      </c>
      <c r="AA295">
        <v>8255.99</v>
      </c>
      <c r="AB295">
        <f t="shared" si="37"/>
        <v>8255.989999999998</v>
      </c>
      <c r="AC295" s="8">
        <f t="shared" si="38"/>
        <v>0.27931377232381488</v>
      </c>
      <c r="AD295" t="s">
        <v>111</v>
      </c>
      <c r="AE295" t="s">
        <v>103</v>
      </c>
      <c r="AF295" t="str">
        <f t="shared" si="39"/>
        <v>Perfect Match</v>
      </c>
    </row>
    <row r="296" spans="1:32">
      <c r="A296" t="str">
        <f>IF(OR(I296&lt;0, ISTEXT(W296), ISTEXT(Y296)), "Invalid", IF(OR(B296="Conflicting Duplicate", M296="Unknown", S296="Unknown"), "Warning", "Valid"))</f>
        <v>Valid</v>
      </c>
      <c r="B296" t="str">
        <f t="shared" si="33"/>
        <v>-</v>
      </c>
      <c r="C296" t="s">
        <v>1703</v>
      </c>
      <c r="D296" s="2">
        <v>45328</v>
      </c>
      <c r="E296" t="str">
        <f t="shared" si="34"/>
        <v>February</v>
      </c>
      <c r="F296">
        <f t="shared" si="35"/>
        <v>2024</v>
      </c>
      <c r="G296" s="2">
        <v>45330</v>
      </c>
      <c r="H296" t="s">
        <v>735</v>
      </c>
      <c r="I296">
        <f t="shared" si="36"/>
        <v>2</v>
      </c>
      <c r="J296" t="s">
        <v>2795</v>
      </c>
      <c r="K296" t="s">
        <v>23</v>
      </c>
      <c r="L296" t="s">
        <v>24</v>
      </c>
      <c r="M296" t="s">
        <v>38</v>
      </c>
      <c r="N296" t="s">
        <v>228</v>
      </c>
      <c r="O296" t="s">
        <v>229</v>
      </c>
      <c r="P296" t="s">
        <v>41</v>
      </c>
      <c r="Q296" t="s">
        <v>158</v>
      </c>
      <c r="R296" t="s">
        <v>1704</v>
      </c>
      <c r="S296" t="s">
        <v>31</v>
      </c>
      <c r="T296">
        <v>9</v>
      </c>
      <c r="U296">
        <v>1822.25</v>
      </c>
      <c r="V296">
        <v>0</v>
      </c>
      <c r="W296">
        <v>0</v>
      </c>
      <c r="X296">
        <v>16400.25</v>
      </c>
      <c r="Y296">
        <f t="shared" si="32"/>
        <v>16400.25</v>
      </c>
      <c r="Z296">
        <v>12146.96</v>
      </c>
      <c r="AA296">
        <v>4253.29</v>
      </c>
      <c r="AB296">
        <f t="shared" si="37"/>
        <v>4253.2900000000009</v>
      </c>
      <c r="AC296" s="8">
        <f t="shared" si="38"/>
        <v>0.25934299782015524</v>
      </c>
      <c r="AD296" t="s">
        <v>32</v>
      </c>
      <c r="AE296" t="s">
        <v>33</v>
      </c>
      <c r="AF296" t="str">
        <f t="shared" si="39"/>
        <v>Perfect Match</v>
      </c>
    </row>
    <row r="297" spans="1:32">
      <c r="A297" s="6" t="str">
        <f>IF(OR(I297&lt;0, ISTEXT(W297), ISTEXT(Y297)), "Invalid", IF(OR(B297="Conflicting Duplicate", M297="Unknown", S297="Unknown"), "Warning", "Valid"))</f>
        <v>Warning</v>
      </c>
      <c r="B297" t="str">
        <f t="shared" si="33"/>
        <v>-</v>
      </c>
      <c r="C297" t="s">
        <v>1708</v>
      </c>
      <c r="D297" s="2">
        <v>45505</v>
      </c>
      <c r="E297" t="str">
        <f t="shared" si="34"/>
        <v>August</v>
      </c>
      <c r="F297">
        <f t="shared" si="35"/>
        <v>2024</v>
      </c>
      <c r="G297" s="2">
        <v>45512</v>
      </c>
      <c r="H297" t="s">
        <v>1709</v>
      </c>
      <c r="I297">
        <f t="shared" si="36"/>
        <v>7</v>
      </c>
      <c r="J297" t="s">
        <v>2795</v>
      </c>
      <c r="K297" t="s">
        <v>162</v>
      </c>
      <c r="L297" t="s">
        <v>37</v>
      </c>
      <c r="M297" t="s">
        <v>63</v>
      </c>
      <c r="N297" t="s">
        <v>64</v>
      </c>
      <c r="O297" t="s">
        <v>65</v>
      </c>
      <c r="P297" t="s">
        <v>28</v>
      </c>
      <c r="Q297" t="s">
        <v>124</v>
      </c>
      <c r="R297" t="s">
        <v>1710</v>
      </c>
      <c r="S297" s="4" t="s">
        <v>2790</v>
      </c>
      <c r="T297">
        <v>1</v>
      </c>
      <c r="U297">
        <v>442.97</v>
      </c>
      <c r="V297">
        <v>0.1</v>
      </c>
      <c r="W297">
        <v>0.1</v>
      </c>
      <c r="X297">
        <v>398.67</v>
      </c>
      <c r="Y297">
        <f t="shared" si="32"/>
        <v>398.67</v>
      </c>
      <c r="Z297">
        <v>311.66000000000003</v>
      </c>
      <c r="AA297">
        <v>87.01</v>
      </c>
      <c r="AB297">
        <f t="shared" si="37"/>
        <v>87.009999999999991</v>
      </c>
      <c r="AC297" s="8">
        <f t="shared" si="38"/>
        <v>0.21825068352271298</v>
      </c>
      <c r="AD297" t="s">
        <v>32</v>
      </c>
      <c r="AE297" t="s">
        <v>33</v>
      </c>
      <c r="AF297" t="str">
        <f t="shared" si="39"/>
        <v>Perfect Match</v>
      </c>
    </row>
    <row r="298" spans="1:32">
      <c r="A298" t="str">
        <f>IF(OR(I298&lt;0, ISTEXT(W298), ISTEXT(Y298)), "Invalid", IF(OR(B298="Conflicting Duplicate", M298="Unknown", S298="Unknown"), "Warning", "Valid"))</f>
        <v>Valid</v>
      </c>
      <c r="B298" t="str">
        <f t="shared" si="33"/>
        <v>-</v>
      </c>
      <c r="C298" t="s">
        <v>1714</v>
      </c>
      <c r="D298" s="2">
        <v>45529</v>
      </c>
      <c r="E298" t="str">
        <f t="shared" si="34"/>
        <v>August</v>
      </c>
      <c r="F298">
        <f t="shared" si="35"/>
        <v>2024</v>
      </c>
      <c r="G298" s="2">
        <v>45536</v>
      </c>
      <c r="H298" t="s">
        <v>1715</v>
      </c>
      <c r="I298">
        <f t="shared" si="36"/>
        <v>7</v>
      </c>
      <c r="J298" t="s">
        <v>2795</v>
      </c>
      <c r="K298" t="s">
        <v>47</v>
      </c>
      <c r="L298" t="s">
        <v>95</v>
      </c>
      <c r="M298" t="s">
        <v>25</v>
      </c>
      <c r="N298" t="s">
        <v>26</v>
      </c>
      <c r="O298" t="s">
        <v>27</v>
      </c>
      <c r="P298" t="s">
        <v>41</v>
      </c>
      <c r="Q298" t="s">
        <v>42</v>
      </c>
      <c r="R298" t="s">
        <v>1716</v>
      </c>
      <c r="S298" t="s">
        <v>44</v>
      </c>
      <c r="T298">
        <v>6</v>
      </c>
      <c r="U298">
        <v>481.3</v>
      </c>
      <c r="V298">
        <v>0.25</v>
      </c>
      <c r="W298">
        <v>0.25</v>
      </c>
      <c r="X298">
        <v>2165.85</v>
      </c>
      <c r="Y298">
        <f t="shared" si="32"/>
        <v>2165.85</v>
      </c>
      <c r="Z298">
        <v>2124.48</v>
      </c>
      <c r="AA298">
        <v>430.45</v>
      </c>
      <c r="AB298">
        <f t="shared" si="37"/>
        <v>41.369999999999891</v>
      </c>
      <c r="AC298" s="8">
        <f t="shared" si="38"/>
        <v>1.9101045778793495E-2</v>
      </c>
      <c r="AD298" t="s">
        <v>32</v>
      </c>
      <c r="AE298" t="s">
        <v>33</v>
      </c>
      <c r="AF298" t="str">
        <f t="shared" si="39"/>
        <v>Mismatch Found</v>
      </c>
    </row>
    <row r="299" spans="1:32">
      <c r="A299" t="str">
        <f>IF(OR(I299&lt;0, ISTEXT(W299), ISTEXT(Y299)), "Invalid", IF(OR(B299="Conflicting Duplicate", M299="Unknown", S299="Unknown"), "Warning", "Valid"))</f>
        <v>Valid</v>
      </c>
      <c r="B299" t="str">
        <f t="shared" si="33"/>
        <v>-</v>
      </c>
      <c r="C299" t="s">
        <v>1720</v>
      </c>
      <c r="D299" s="2">
        <v>45431</v>
      </c>
      <c r="E299" t="str">
        <f t="shared" si="34"/>
        <v>May</v>
      </c>
      <c r="F299">
        <f t="shared" si="35"/>
        <v>2024</v>
      </c>
      <c r="G299" s="2">
        <v>45433</v>
      </c>
      <c r="H299" t="s">
        <v>1721</v>
      </c>
      <c r="I299">
        <f t="shared" si="36"/>
        <v>2</v>
      </c>
      <c r="J299" t="s">
        <v>2795</v>
      </c>
      <c r="K299" t="s">
        <v>162</v>
      </c>
      <c r="L299" t="s">
        <v>37</v>
      </c>
      <c r="M299" t="s">
        <v>63</v>
      </c>
      <c r="N299" t="s">
        <v>64</v>
      </c>
      <c r="O299" t="s">
        <v>65</v>
      </c>
      <c r="P299" t="s">
        <v>74</v>
      </c>
      <c r="Q299" t="s">
        <v>80</v>
      </c>
      <c r="R299" t="s">
        <v>1722</v>
      </c>
      <c r="S299" t="s">
        <v>50</v>
      </c>
      <c r="T299">
        <v>3</v>
      </c>
      <c r="U299">
        <v>4000.98</v>
      </c>
      <c r="V299">
        <v>0.2</v>
      </c>
      <c r="W299">
        <v>0.2</v>
      </c>
      <c r="X299">
        <v>9602.35</v>
      </c>
      <c r="Y299">
        <f t="shared" si="32"/>
        <v>9602.35</v>
      </c>
      <c r="Z299">
        <v>7387.57</v>
      </c>
      <c r="AA299">
        <v>2214.7800000000002</v>
      </c>
      <c r="AB299">
        <f t="shared" si="37"/>
        <v>2214.7800000000007</v>
      </c>
      <c r="AC299" s="8">
        <f t="shared" si="38"/>
        <v>0.23064978885377024</v>
      </c>
      <c r="AD299" t="s">
        <v>32</v>
      </c>
      <c r="AE299" t="s">
        <v>33</v>
      </c>
      <c r="AF299" t="str">
        <f t="shared" si="39"/>
        <v>Perfect Match</v>
      </c>
    </row>
    <row r="300" spans="1:32">
      <c r="A300" t="str">
        <f>IF(OR(I300&lt;0, ISTEXT(W300), ISTEXT(Y300)), "Invalid", IF(OR(B300="Conflicting Duplicate", M300="Unknown", S300="Unknown"), "Warning", "Valid"))</f>
        <v>Valid</v>
      </c>
      <c r="B300" t="str">
        <f t="shared" si="33"/>
        <v>-</v>
      </c>
      <c r="C300" t="s">
        <v>1726</v>
      </c>
      <c r="D300" s="2">
        <v>45313</v>
      </c>
      <c r="E300" t="str">
        <f t="shared" si="34"/>
        <v>January</v>
      </c>
      <c r="F300">
        <f t="shared" si="35"/>
        <v>2024</v>
      </c>
      <c r="G300" s="2">
        <v>45321</v>
      </c>
      <c r="H300" t="s">
        <v>1727</v>
      </c>
      <c r="I300">
        <f t="shared" si="36"/>
        <v>8</v>
      </c>
      <c r="J300" t="s">
        <v>2795</v>
      </c>
      <c r="K300" t="s">
        <v>62</v>
      </c>
      <c r="L300" t="s">
        <v>37</v>
      </c>
      <c r="M300" t="s">
        <v>25</v>
      </c>
      <c r="N300" t="s">
        <v>236</v>
      </c>
      <c r="O300" t="s">
        <v>237</v>
      </c>
      <c r="P300" t="s">
        <v>28</v>
      </c>
      <c r="Q300" t="s">
        <v>48</v>
      </c>
      <c r="R300" t="s">
        <v>1728</v>
      </c>
      <c r="S300" t="s">
        <v>44</v>
      </c>
      <c r="T300">
        <v>3</v>
      </c>
      <c r="U300">
        <v>676.37</v>
      </c>
      <c r="V300">
        <v>0.05</v>
      </c>
      <c r="W300">
        <v>0.05</v>
      </c>
      <c r="X300">
        <v>1927.65</v>
      </c>
      <c r="Y300">
        <f t="shared" si="32"/>
        <v>1927.65</v>
      </c>
      <c r="Z300">
        <v>1460.6</v>
      </c>
      <c r="AA300">
        <v>467.05</v>
      </c>
      <c r="AB300">
        <f t="shared" si="37"/>
        <v>467.05000000000018</v>
      </c>
      <c r="AC300" s="8">
        <f t="shared" si="38"/>
        <v>0.24228983477291011</v>
      </c>
      <c r="AD300" t="s">
        <v>155</v>
      </c>
      <c r="AE300" t="s">
        <v>68</v>
      </c>
      <c r="AF300" t="str">
        <f t="shared" si="39"/>
        <v>Perfect Match</v>
      </c>
    </row>
    <row r="301" spans="1:32">
      <c r="A301" s="6" t="str">
        <f>IF(OR(I301&lt;0, ISTEXT(W301), ISTEXT(Y301)), "Invalid", IF(OR(B301="Conflicting Duplicate", M301="Unknown", S301="Unknown"), "Warning", "Valid"))</f>
        <v>Invalid</v>
      </c>
      <c r="B301" t="str">
        <f t="shared" si="33"/>
        <v>-</v>
      </c>
      <c r="C301" t="s">
        <v>1729</v>
      </c>
      <c r="D301" s="2">
        <v>45560</v>
      </c>
      <c r="E301" t="str">
        <f t="shared" si="34"/>
        <v>September</v>
      </c>
      <c r="F301">
        <f t="shared" si="35"/>
        <v>2024</v>
      </c>
      <c r="G301" s="2">
        <v>45301</v>
      </c>
      <c r="H301" t="s">
        <v>1730</v>
      </c>
      <c r="I301" s="7">
        <f t="shared" si="36"/>
        <v>-259</v>
      </c>
      <c r="J301" s="7" t="s">
        <v>2802</v>
      </c>
      <c r="K301" t="s">
        <v>162</v>
      </c>
      <c r="L301" t="s">
        <v>37</v>
      </c>
      <c r="M301" t="s">
        <v>38</v>
      </c>
      <c r="N301" t="s">
        <v>228</v>
      </c>
      <c r="O301" t="s">
        <v>229</v>
      </c>
      <c r="P301" t="s">
        <v>41</v>
      </c>
      <c r="Q301" t="s">
        <v>42</v>
      </c>
      <c r="R301" t="s">
        <v>1731</v>
      </c>
      <c r="S301" t="s">
        <v>31</v>
      </c>
      <c r="T301">
        <v>9</v>
      </c>
      <c r="U301">
        <v>3908.6</v>
      </c>
      <c r="V301">
        <v>0.15</v>
      </c>
      <c r="W301">
        <v>0.15</v>
      </c>
      <c r="X301">
        <v>29900.79</v>
      </c>
      <c r="Y301">
        <f t="shared" si="32"/>
        <v>29900.79</v>
      </c>
      <c r="Z301">
        <v>24650.67</v>
      </c>
      <c r="AA301">
        <v>5250.12</v>
      </c>
      <c r="AB301">
        <f t="shared" si="37"/>
        <v>5250.1200000000026</v>
      </c>
      <c r="AC301" s="8">
        <f t="shared" si="38"/>
        <v>0.17558465846554563</v>
      </c>
      <c r="AD301" t="s">
        <v>32</v>
      </c>
      <c r="AE301" t="s">
        <v>33</v>
      </c>
      <c r="AF301" t="str">
        <f t="shared" si="39"/>
        <v>Perfect Match</v>
      </c>
    </row>
    <row r="302" spans="1:32">
      <c r="A302" s="6" t="str">
        <f>IF(OR(I302&lt;0, ISTEXT(W302), ISTEXT(Y302)), "Invalid", IF(OR(B302="Conflicting Duplicate", M302="Unknown", S302="Unknown"), "Warning", "Valid"))</f>
        <v>Invalid</v>
      </c>
      <c r="B302" t="str">
        <f t="shared" si="33"/>
        <v>-</v>
      </c>
      <c r="C302" t="s">
        <v>1735</v>
      </c>
      <c r="D302" s="2">
        <v>45348</v>
      </c>
      <c r="E302" t="str">
        <f t="shared" si="34"/>
        <v>February</v>
      </c>
      <c r="F302">
        <f t="shared" si="35"/>
        <v>2024</v>
      </c>
      <c r="G302" s="2">
        <v>45345</v>
      </c>
      <c r="H302" t="s">
        <v>1736</v>
      </c>
      <c r="I302" s="7">
        <f t="shared" si="36"/>
        <v>-3</v>
      </c>
      <c r="J302" s="7" t="s">
        <v>2802</v>
      </c>
      <c r="K302" t="s">
        <v>264</v>
      </c>
      <c r="L302" t="s">
        <v>24</v>
      </c>
      <c r="M302" t="s">
        <v>63</v>
      </c>
      <c r="N302" t="s">
        <v>180</v>
      </c>
      <c r="O302" t="s">
        <v>181</v>
      </c>
      <c r="P302" t="s">
        <v>41</v>
      </c>
      <c r="Q302" t="s">
        <v>57</v>
      </c>
      <c r="R302" t="s">
        <v>1737</v>
      </c>
      <c r="S302" t="s">
        <v>59</v>
      </c>
      <c r="T302">
        <v>7</v>
      </c>
      <c r="U302">
        <v>3852.07</v>
      </c>
      <c r="V302">
        <v>0.2</v>
      </c>
      <c r="W302">
        <v>0.2</v>
      </c>
      <c r="X302">
        <v>21571.59</v>
      </c>
      <c r="Y302">
        <f t="shared" si="32"/>
        <v>21571.59</v>
      </c>
      <c r="Z302">
        <v>17118.07</v>
      </c>
      <c r="AA302">
        <v>4453.5200000000004</v>
      </c>
      <c r="AB302">
        <f t="shared" si="37"/>
        <v>4453.5200000000004</v>
      </c>
      <c r="AC302" s="8">
        <f t="shared" si="38"/>
        <v>0.20645302455683612</v>
      </c>
      <c r="AD302" t="s">
        <v>32</v>
      </c>
      <c r="AE302" t="s">
        <v>33</v>
      </c>
      <c r="AF302" t="str">
        <f t="shared" si="39"/>
        <v>Perfect Match</v>
      </c>
    </row>
    <row r="303" spans="1:32">
      <c r="A303" t="str">
        <f>IF(OR(I303&lt;0, ISTEXT(W303), ISTEXT(Y303)), "Invalid", IF(OR(B303="Conflicting Duplicate", M303="Unknown", S303="Unknown"), "Warning", "Valid"))</f>
        <v>Valid</v>
      </c>
      <c r="B303" t="str">
        <f t="shared" si="33"/>
        <v>-</v>
      </c>
      <c r="C303" t="s">
        <v>1741</v>
      </c>
      <c r="D303" s="2">
        <v>45552</v>
      </c>
      <c r="E303" t="str">
        <f t="shared" si="34"/>
        <v>September</v>
      </c>
      <c r="F303">
        <f t="shared" si="35"/>
        <v>2024</v>
      </c>
      <c r="G303" s="2">
        <v>45558</v>
      </c>
      <c r="H303" t="s">
        <v>1742</v>
      </c>
      <c r="I303">
        <f t="shared" si="36"/>
        <v>6</v>
      </c>
      <c r="J303" t="s">
        <v>2795</v>
      </c>
      <c r="K303" t="s">
        <v>118</v>
      </c>
      <c r="L303" t="s">
        <v>95</v>
      </c>
      <c r="M303" t="s">
        <v>54</v>
      </c>
      <c r="N303" t="s">
        <v>185</v>
      </c>
      <c r="O303" t="s">
        <v>186</v>
      </c>
      <c r="P303" t="s">
        <v>41</v>
      </c>
      <c r="Q303" t="s">
        <v>158</v>
      </c>
      <c r="R303" t="s">
        <v>1743</v>
      </c>
      <c r="S303" t="s">
        <v>31</v>
      </c>
      <c r="T303">
        <v>3</v>
      </c>
      <c r="U303">
        <v>4067.62</v>
      </c>
      <c r="V303">
        <v>0.2</v>
      </c>
      <c r="W303">
        <v>0.2</v>
      </c>
      <c r="X303">
        <v>9988.5300000000007</v>
      </c>
      <c r="Y303">
        <f t="shared" si="32"/>
        <v>9762.2900000000009</v>
      </c>
      <c r="Z303">
        <v>8368.24</v>
      </c>
      <c r="AA303">
        <v>1394.05</v>
      </c>
      <c r="AB303">
        <f t="shared" si="37"/>
        <v>1394.0500000000011</v>
      </c>
      <c r="AC303" s="8">
        <f t="shared" si="38"/>
        <v>0.14279948659587052</v>
      </c>
      <c r="AD303" t="s">
        <v>32</v>
      </c>
      <c r="AE303" t="s">
        <v>1744</v>
      </c>
      <c r="AF303" t="str">
        <f t="shared" si="39"/>
        <v>Mismatch Found</v>
      </c>
    </row>
    <row r="304" spans="1:32">
      <c r="A304" t="str">
        <f>IF(OR(I304&lt;0, ISTEXT(W304), ISTEXT(Y304)), "Invalid", IF(OR(B304="Conflicting Duplicate", M304="Unknown", S304="Unknown"), "Warning", "Valid"))</f>
        <v>Valid</v>
      </c>
      <c r="B304" t="str">
        <f t="shared" si="33"/>
        <v>-</v>
      </c>
      <c r="C304" t="s">
        <v>1745</v>
      </c>
      <c r="D304" s="2">
        <v>45487</v>
      </c>
      <c r="E304" t="str">
        <f t="shared" si="34"/>
        <v>July</v>
      </c>
      <c r="F304">
        <f t="shared" si="35"/>
        <v>2024</v>
      </c>
      <c r="G304" s="2">
        <v>45493</v>
      </c>
      <c r="H304" t="s">
        <v>1746</v>
      </c>
      <c r="I304">
        <f t="shared" si="36"/>
        <v>6</v>
      </c>
      <c r="J304" t="s">
        <v>2795</v>
      </c>
      <c r="K304" t="s">
        <v>36</v>
      </c>
      <c r="L304" t="s">
        <v>24</v>
      </c>
      <c r="M304" t="s">
        <v>38</v>
      </c>
      <c r="N304" t="s">
        <v>145</v>
      </c>
      <c r="O304" t="s">
        <v>146</v>
      </c>
      <c r="P304" t="s">
        <v>74</v>
      </c>
      <c r="Q304" t="s">
        <v>80</v>
      </c>
      <c r="R304" t="s">
        <v>1747</v>
      </c>
      <c r="S304" t="s">
        <v>44</v>
      </c>
      <c r="T304">
        <v>1</v>
      </c>
      <c r="U304">
        <v>492.67</v>
      </c>
      <c r="V304">
        <v>0.15</v>
      </c>
      <c r="W304">
        <v>0.15</v>
      </c>
      <c r="X304">
        <v>418.77</v>
      </c>
      <c r="Y304">
        <f t="shared" si="32"/>
        <v>418.77</v>
      </c>
      <c r="Z304">
        <v>313.72000000000003</v>
      </c>
      <c r="AA304">
        <v>105.05</v>
      </c>
      <c r="AB304">
        <f t="shared" si="37"/>
        <v>105.04999999999995</v>
      </c>
      <c r="AC304" s="8">
        <f t="shared" si="38"/>
        <v>0.25085369057000251</v>
      </c>
      <c r="AD304" t="s">
        <v>32</v>
      </c>
      <c r="AE304" t="s">
        <v>33</v>
      </c>
      <c r="AF304" t="str">
        <f t="shared" si="39"/>
        <v>Perfect Match</v>
      </c>
    </row>
    <row r="305" spans="1:32">
      <c r="A305" t="str">
        <f>IF(OR(I305&lt;0, ISTEXT(W305), ISTEXT(Y305)), "Invalid", IF(OR(B305="Conflicting Duplicate", M305="Unknown", S305="Unknown"), "Warning", "Valid"))</f>
        <v>Valid</v>
      </c>
      <c r="B305" t="str">
        <f t="shared" si="33"/>
        <v>-</v>
      </c>
      <c r="C305" t="s">
        <v>1751</v>
      </c>
      <c r="D305" s="2">
        <v>45439</v>
      </c>
      <c r="E305" t="str">
        <f t="shared" si="34"/>
        <v>May</v>
      </c>
      <c r="F305">
        <f t="shared" si="35"/>
        <v>2024</v>
      </c>
      <c r="G305" s="2">
        <v>45442</v>
      </c>
      <c r="H305" t="s">
        <v>1752</v>
      </c>
      <c r="I305">
        <f t="shared" si="36"/>
        <v>3</v>
      </c>
      <c r="J305" t="s">
        <v>2795</v>
      </c>
      <c r="K305" t="s">
        <v>264</v>
      </c>
      <c r="L305" t="s">
        <v>37</v>
      </c>
      <c r="M305" t="s">
        <v>38</v>
      </c>
      <c r="N305" t="s">
        <v>228</v>
      </c>
      <c r="O305" t="s">
        <v>229</v>
      </c>
      <c r="P305" t="s">
        <v>28</v>
      </c>
      <c r="Q305" t="s">
        <v>124</v>
      </c>
      <c r="R305" t="s">
        <v>1753</v>
      </c>
      <c r="S305" t="s">
        <v>44</v>
      </c>
      <c r="T305">
        <v>7</v>
      </c>
      <c r="U305">
        <v>2900.86</v>
      </c>
      <c r="V305">
        <v>0.15</v>
      </c>
      <c r="W305">
        <v>0.15</v>
      </c>
      <c r="X305">
        <v>17260.12</v>
      </c>
      <c r="Y305">
        <f t="shared" si="32"/>
        <v>17260.12</v>
      </c>
      <c r="Z305">
        <v>13513.51</v>
      </c>
      <c r="AA305">
        <v>3746.61</v>
      </c>
      <c r="AB305">
        <f t="shared" si="37"/>
        <v>3746.6099999999988</v>
      </c>
      <c r="AC305" s="8">
        <f t="shared" si="38"/>
        <v>0.21706743637935305</v>
      </c>
      <c r="AD305" t="s">
        <v>32</v>
      </c>
      <c r="AE305" t="s">
        <v>33</v>
      </c>
      <c r="AF305" t="str">
        <f t="shared" si="39"/>
        <v>Perfect Match</v>
      </c>
    </row>
    <row r="306" spans="1:32">
      <c r="A306" t="str">
        <f>IF(OR(I306&lt;0, ISTEXT(W306), ISTEXT(Y306)), "Invalid", IF(OR(B306="Conflicting Duplicate", M306="Unknown", S306="Unknown"), "Warning", "Valid"))</f>
        <v>Valid</v>
      </c>
      <c r="B306" t="str">
        <f t="shared" si="33"/>
        <v>-</v>
      </c>
      <c r="C306" t="s">
        <v>1758</v>
      </c>
      <c r="D306" s="2">
        <v>45428</v>
      </c>
      <c r="E306" t="str">
        <f t="shared" si="34"/>
        <v>May</v>
      </c>
      <c r="F306">
        <f t="shared" si="35"/>
        <v>2024</v>
      </c>
      <c r="G306" s="2">
        <v>45435</v>
      </c>
      <c r="H306" t="s">
        <v>1759</v>
      </c>
      <c r="I306">
        <f t="shared" si="36"/>
        <v>7</v>
      </c>
      <c r="J306" t="s">
        <v>2795</v>
      </c>
      <c r="K306" t="s">
        <v>79</v>
      </c>
      <c r="L306" t="s">
        <v>37</v>
      </c>
      <c r="M306" t="s">
        <v>25</v>
      </c>
      <c r="N306" t="s">
        <v>136</v>
      </c>
      <c r="O306" t="s">
        <v>137</v>
      </c>
      <c r="P306" t="s">
        <v>74</v>
      </c>
      <c r="Q306" t="s">
        <v>80</v>
      </c>
      <c r="R306" t="s">
        <v>1760</v>
      </c>
      <c r="S306" t="s">
        <v>59</v>
      </c>
      <c r="T306">
        <v>9</v>
      </c>
      <c r="U306">
        <v>3722.09</v>
      </c>
      <c r="V306">
        <v>0.1</v>
      </c>
      <c r="W306">
        <v>0.1</v>
      </c>
      <c r="X306">
        <v>30148.93</v>
      </c>
      <c r="Y306">
        <f t="shared" si="32"/>
        <v>30148.93</v>
      </c>
      <c r="Z306">
        <v>25155.07</v>
      </c>
      <c r="AA306">
        <v>4993.8599999999997</v>
      </c>
      <c r="AB306">
        <f t="shared" si="37"/>
        <v>4993.8600000000006</v>
      </c>
      <c r="AC306" s="8">
        <f t="shared" si="38"/>
        <v>0.16563970926994759</v>
      </c>
      <c r="AD306" t="s">
        <v>32</v>
      </c>
      <c r="AE306" t="s">
        <v>33</v>
      </c>
      <c r="AF306" t="str">
        <f t="shared" si="39"/>
        <v>Perfect Match</v>
      </c>
    </row>
    <row r="307" spans="1:32">
      <c r="A307" t="str">
        <f>IF(OR(I307&lt;0, ISTEXT(W307), ISTEXT(Y307)), "Invalid", IF(OR(B307="Conflicting Duplicate", M307="Unknown", S307="Unknown"), "Warning", "Valid"))</f>
        <v>Valid</v>
      </c>
      <c r="B307" t="str">
        <f t="shared" si="33"/>
        <v>-</v>
      </c>
      <c r="C307" t="s">
        <v>1761</v>
      </c>
      <c r="D307" s="2">
        <v>45441</v>
      </c>
      <c r="E307" t="str">
        <f t="shared" si="34"/>
        <v>May</v>
      </c>
      <c r="F307">
        <f t="shared" si="35"/>
        <v>2024</v>
      </c>
      <c r="G307" s="2">
        <v>45441</v>
      </c>
      <c r="H307" t="s">
        <v>1762</v>
      </c>
      <c r="I307">
        <f t="shared" si="36"/>
        <v>0</v>
      </c>
      <c r="J307" t="s">
        <v>2795</v>
      </c>
      <c r="K307" t="s">
        <v>141</v>
      </c>
      <c r="L307" t="s">
        <v>90</v>
      </c>
      <c r="M307" t="s">
        <v>38</v>
      </c>
      <c r="N307" t="s">
        <v>145</v>
      </c>
      <c r="O307" t="s">
        <v>146</v>
      </c>
      <c r="P307" t="s">
        <v>41</v>
      </c>
      <c r="Q307" t="s">
        <v>158</v>
      </c>
      <c r="R307" t="s">
        <v>1763</v>
      </c>
      <c r="S307" t="s">
        <v>44</v>
      </c>
      <c r="T307">
        <v>1</v>
      </c>
      <c r="U307">
        <v>1072.01</v>
      </c>
      <c r="V307">
        <v>0</v>
      </c>
      <c r="W307">
        <v>0</v>
      </c>
      <c r="X307">
        <v>1072.01</v>
      </c>
      <c r="Y307">
        <f t="shared" si="32"/>
        <v>1072.01</v>
      </c>
      <c r="Z307">
        <v>852.62</v>
      </c>
      <c r="AA307">
        <v>219.39</v>
      </c>
      <c r="AB307">
        <f t="shared" si="37"/>
        <v>219.39</v>
      </c>
      <c r="AC307" s="8">
        <f t="shared" si="38"/>
        <v>0.20465294167032022</v>
      </c>
      <c r="AD307" t="s">
        <v>111</v>
      </c>
      <c r="AE307" t="s">
        <v>68</v>
      </c>
      <c r="AF307" t="str">
        <f t="shared" si="39"/>
        <v>Perfect Match</v>
      </c>
    </row>
    <row r="308" spans="1:32">
      <c r="A308" t="str">
        <f>IF(OR(I308&lt;0, ISTEXT(W308), ISTEXT(Y308)), "Invalid", IF(OR(B308="Conflicting Duplicate", M308="Unknown", S308="Unknown"), "Warning", "Valid"))</f>
        <v>Valid</v>
      </c>
      <c r="B308" t="str">
        <f t="shared" si="33"/>
        <v>-</v>
      </c>
      <c r="C308" t="s">
        <v>1767</v>
      </c>
      <c r="D308" s="2">
        <v>45330</v>
      </c>
      <c r="E308" t="str">
        <f t="shared" si="34"/>
        <v>February</v>
      </c>
      <c r="F308">
        <f t="shared" si="35"/>
        <v>2024</v>
      </c>
      <c r="G308" s="2">
        <v>45514</v>
      </c>
      <c r="H308" t="s">
        <v>1768</v>
      </c>
      <c r="I308">
        <f t="shared" si="36"/>
        <v>184</v>
      </c>
      <c r="J308" t="s">
        <v>2795</v>
      </c>
      <c r="K308" t="s">
        <v>36</v>
      </c>
      <c r="L308" t="s">
        <v>95</v>
      </c>
      <c r="M308" t="s">
        <v>38</v>
      </c>
      <c r="N308" t="s">
        <v>39</v>
      </c>
      <c r="O308" t="s">
        <v>40</v>
      </c>
      <c r="P308" t="s">
        <v>74</v>
      </c>
      <c r="Q308" t="s">
        <v>75</v>
      </c>
      <c r="R308" t="s">
        <v>1769</v>
      </c>
      <c r="S308" t="s">
        <v>59</v>
      </c>
      <c r="T308">
        <v>6</v>
      </c>
      <c r="U308">
        <v>2126.44</v>
      </c>
      <c r="V308">
        <v>0.2</v>
      </c>
      <c r="W308">
        <v>0.2</v>
      </c>
      <c r="X308">
        <v>10206.91</v>
      </c>
      <c r="Y308">
        <f t="shared" si="32"/>
        <v>10206.91</v>
      </c>
      <c r="Z308">
        <v>6764.53</v>
      </c>
      <c r="AA308">
        <v>3442.38</v>
      </c>
      <c r="AB308">
        <f t="shared" si="37"/>
        <v>3442.38</v>
      </c>
      <c r="AC308" s="8">
        <f t="shared" si="38"/>
        <v>0.33725975834018329</v>
      </c>
      <c r="AD308" t="s">
        <v>32</v>
      </c>
      <c r="AE308" t="s">
        <v>33</v>
      </c>
      <c r="AF308" t="str">
        <f t="shared" si="39"/>
        <v>Perfect Match</v>
      </c>
    </row>
    <row r="309" spans="1:32">
      <c r="A309" t="str">
        <f>IF(OR(I309&lt;0, ISTEXT(W309), ISTEXT(Y309)), "Invalid", IF(OR(B309="Conflicting Duplicate", M309="Unknown", S309="Unknown"), "Warning", "Valid"))</f>
        <v>Valid</v>
      </c>
      <c r="B309" t="str">
        <f t="shared" si="33"/>
        <v>-</v>
      </c>
      <c r="C309" t="s">
        <v>1770</v>
      </c>
      <c r="D309" s="2">
        <v>45349</v>
      </c>
      <c r="E309" t="str">
        <f t="shared" si="34"/>
        <v>February</v>
      </c>
      <c r="F309">
        <f t="shared" si="35"/>
        <v>2024</v>
      </c>
      <c r="G309" s="2">
        <v>45349</v>
      </c>
      <c r="H309" t="s">
        <v>1771</v>
      </c>
      <c r="I309">
        <f t="shared" si="36"/>
        <v>0</v>
      </c>
      <c r="J309" t="s">
        <v>2795</v>
      </c>
      <c r="K309" t="s">
        <v>132</v>
      </c>
      <c r="L309" t="s">
        <v>24</v>
      </c>
      <c r="M309" t="s">
        <v>38</v>
      </c>
      <c r="N309" t="s">
        <v>228</v>
      </c>
      <c r="O309" t="s">
        <v>229</v>
      </c>
      <c r="P309" t="s">
        <v>41</v>
      </c>
      <c r="Q309" t="s">
        <v>66</v>
      </c>
      <c r="R309" t="s">
        <v>1772</v>
      </c>
      <c r="S309" t="s">
        <v>31</v>
      </c>
      <c r="T309">
        <v>3</v>
      </c>
      <c r="U309">
        <v>3148.09</v>
      </c>
      <c r="V309">
        <v>0.15</v>
      </c>
      <c r="W309">
        <v>0.15</v>
      </c>
      <c r="X309">
        <v>8027.63</v>
      </c>
      <c r="Y309">
        <f t="shared" si="32"/>
        <v>8027.63</v>
      </c>
      <c r="Z309">
        <v>5496.09</v>
      </c>
      <c r="AA309">
        <v>2531.54</v>
      </c>
      <c r="AB309">
        <f t="shared" si="37"/>
        <v>2531.54</v>
      </c>
      <c r="AC309" s="8">
        <f t="shared" si="38"/>
        <v>0.31535334837305656</v>
      </c>
      <c r="AD309" t="s">
        <v>32</v>
      </c>
      <c r="AE309" t="s">
        <v>33</v>
      </c>
      <c r="AF309" t="str">
        <f t="shared" si="39"/>
        <v>Perfect Match</v>
      </c>
    </row>
    <row r="310" spans="1:32">
      <c r="A310" s="6" t="str">
        <f>IF(OR(I310&lt;0, ISTEXT(W310), ISTEXT(Y310)), "Invalid", IF(OR(B310="Conflicting Duplicate", M310="Unknown", S310="Unknown"), "Warning", "Valid"))</f>
        <v>Warning</v>
      </c>
      <c r="B310" t="str">
        <f t="shared" si="33"/>
        <v>-</v>
      </c>
      <c r="C310" t="s">
        <v>1779</v>
      </c>
      <c r="D310" s="2">
        <v>45577</v>
      </c>
      <c r="E310" t="str">
        <f t="shared" si="34"/>
        <v>October</v>
      </c>
      <c r="F310">
        <f t="shared" si="35"/>
        <v>2024</v>
      </c>
      <c r="G310" s="2">
        <v>45582</v>
      </c>
      <c r="H310" t="s">
        <v>1780</v>
      </c>
      <c r="I310">
        <f t="shared" si="36"/>
        <v>5</v>
      </c>
      <c r="J310" t="s">
        <v>2795</v>
      </c>
      <c r="K310" t="s">
        <v>53</v>
      </c>
      <c r="L310" t="s">
        <v>24</v>
      </c>
      <c r="M310" s="4" t="s">
        <v>2790</v>
      </c>
      <c r="N310" t="s">
        <v>228</v>
      </c>
      <c r="O310" t="s">
        <v>229</v>
      </c>
      <c r="P310" t="s">
        <v>41</v>
      </c>
      <c r="Q310" t="s">
        <v>57</v>
      </c>
      <c r="R310" t="s">
        <v>1781</v>
      </c>
      <c r="S310" t="s">
        <v>59</v>
      </c>
      <c r="T310">
        <v>4</v>
      </c>
      <c r="U310">
        <v>1071.22</v>
      </c>
      <c r="V310">
        <v>0.05</v>
      </c>
      <c r="W310">
        <v>0.05</v>
      </c>
      <c r="X310">
        <v>4070.64</v>
      </c>
      <c r="Y310">
        <f t="shared" si="32"/>
        <v>4070.64</v>
      </c>
      <c r="Z310">
        <v>2831.62</v>
      </c>
      <c r="AA310">
        <v>1239.02</v>
      </c>
      <c r="AB310">
        <f t="shared" si="37"/>
        <v>1239.02</v>
      </c>
      <c r="AC310" s="8">
        <f t="shared" si="38"/>
        <v>0.30437965528762062</v>
      </c>
      <c r="AD310" t="s">
        <v>32</v>
      </c>
      <c r="AE310" t="s">
        <v>33</v>
      </c>
      <c r="AF310" t="str">
        <f t="shared" si="39"/>
        <v>Perfect Match</v>
      </c>
    </row>
    <row r="311" spans="1:32">
      <c r="A311" t="str">
        <f>IF(OR(I311&lt;0, ISTEXT(W311), ISTEXT(Y311)), "Invalid", IF(OR(B311="Conflicting Duplicate", M311="Unknown", S311="Unknown"), "Warning", "Valid"))</f>
        <v>Valid</v>
      </c>
      <c r="B311" t="str">
        <f t="shared" si="33"/>
        <v>-</v>
      </c>
      <c r="C311" t="s">
        <v>1785</v>
      </c>
      <c r="D311" s="2">
        <v>45466</v>
      </c>
      <c r="E311" t="str">
        <f t="shared" si="34"/>
        <v>June</v>
      </c>
      <c r="F311">
        <f t="shared" si="35"/>
        <v>2024</v>
      </c>
      <c r="G311" s="2">
        <v>45472</v>
      </c>
      <c r="H311" t="s">
        <v>1786</v>
      </c>
      <c r="I311">
        <f t="shared" si="36"/>
        <v>6</v>
      </c>
      <c r="J311" t="s">
        <v>2795</v>
      </c>
      <c r="K311" t="s">
        <v>79</v>
      </c>
      <c r="L311" t="s">
        <v>24</v>
      </c>
      <c r="M311" t="s">
        <v>25</v>
      </c>
      <c r="N311" t="s">
        <v>236</v>
      </c>
      <c r="O311" t="s">
        <v>237</v>
      </c>
      <c r="P311" t="s">
        <v>41</v>
      </c>
      <c r="Q311" t="s">
        <v>42</v>
      </c>
      <c r="R311" t="s">
        <v>1787</v>
      </c>
      <c r="S311" t="s">
        <v>50</v>
      </c>
      <c r="T311">
        <v>1</v>
      </c>
      <c r="U311">
        <v>4426.66</v>
      </c>
      <c r="V311">
        <v>0</v>
      </c>
      <c r="W311">
        <v>0</v>
      </c>
      <c r="X311">
        <v>4426.66</v>
      </c>
      <c r="Y311">
        <f t="shared" si="32"/>
        <v>4426.66</v>
      </c>
      <c r="Z311">
        <v>3035.2</v>
      </c>
      <c r="AA311">
        <v>1816.23</v>
      </c>
      <c r="AB311">
        <f t="shared" si="37"/>
        <v>1391.46</v>
      </c>
      <c r="AC311" s="8">
        <f t="shared" si="38"/>
        <v>0.31433631677156143</v>
      </c>
      <c r="AD311" t="s">
        <v>32</v>
      </c>
      <c r="AE311" t="s">
        <v>103</v>
      </c>
      <c r="AF311" t="str">
        <f t="shared" si="39"/>
        <v>Mismatch Found</v>
      </c>
    </row>
    <row r="312" spans="1:32">
      <c r="A312" t="str">
        <f>IF(OR(I312&lt;0, ISTEXT(W312), ISTEXT(Y312)), "Invalid", IF(OR(B312="Conflicting Duplicate", M312="Unknown", S312="Unknown"), "Warning", "Valid"))</f>
        <v>Valid</v>
      </c>
      <c r="B312" t="str">
        <f t="shared" si="33"/>
        <v>-</v>
      </c>
      <c r="C312" t="s">
        <v>1788</v>
      </c>
      <c r="D312" s="2">
        <v>45420</v>
      </c>
      <c r="E312" t="str">
        <f t="shared" si="34"/>
        <v>May</v>
      </c>
      <c r="F312">
        <f t="shared" si="35"/>
        <v>2024</v>
      </c>
      <c r="G312" s="2">
        <v>45426</v>
      </c>
      <c r="H312" t="s">
        <v>1789</v>
      </c>
      <c r="I312">
        <f t="shared" si="36"/>
        <v>6</v>
      </c>
      <c r="J312" t="s">
        <v>2795</v>
      </c>
      <c r="K312" t="s">
        <v>71</v>
      </c>
      <c r="L312" t="s">
        <v>95</v>
      </c>
      <c r="M312" t="s">
        <v>25</v>
      </c>
      <c r="N312" t="s">
        <v>236</v>
      </c>
      <c r="O312" t="s">
        <v>237</v>
      </c>
      <c r="P312" t="s">
        <v>74</v>
      </c>
      <c r="Q312" t="s">
        <v>171</v>
      </c>
      <c r="R312" t="s">
        <v>1790</v>
      </c>
      <c r="S312" t="s">
        <v>50</v>
      </c>
      <c r="T312">
        <v>9</v>
      </c>
      <c r="U312">
        <v>3769.46</v>
      </c>
      <c r="V312">
        <v>0.05</v>
      </c>
      <c r="W312">
        <v>0.05</v>
      </c>
      <c r="X312">
        <v>32228.880000000001</v>
      </c>
      <c r="Y312">
        <f t="shared" si="32"/>
        <v>32228.880000000001</v>
      </c>
      <c r="Z312">
        <v>24971.360000000001</v>
      </c>
      <c r="AA312">
        <v>7257.52</v>
      </c>
      <c r="AB312">
        <f t="shared" si="37"/>
        <v>7257.52</v>
      </c>
      <c r="AC312" s="8">
        <f t="shared" si="38"/>
        <v>0.22518685104788005</v>
      </c>
      <c r="AD312" t="s">
        <v>32</v>
      </c>
      <c r="AE312" t="s">
        <v>68</v>
      </c>
      <c r="AF312" t="str">
        <f t="shared" si="39"/>
        <v>Perfect Match</v>
      </c>
    </row>
    <row r="313" spans="1:32">
      <c r="A313" t="str">
        <f>IF(OR(I313&lt;0, ISTEXT(W313), ISTEXT(Y313)), "Invalid", IF(OR(B313="Conflicting Duplicate", M313="Unknown", S313="Unknown"), "Warning", "Valid"))</f>
        <v>Valid</v>
      </c>
      <c r="B313" t="str">
        <f t="shared" si="33"/>
        <v>-</v>
      </c>
      <c r="C313" t="s">
        <v>1797</v>
      </c>
      <c r="D313" s="2">
        <v>45307</v>
      </c>
      <c r="E313" t="str">
        <f t="shared" si="34"/>
        <v>January</v>
      </c>
      <c r="F313">
        <f t="shared" si="35"/>
        <v>2024</v>
      </c>
      <c r="G313" s="2">
        <v>45313</v>
      </c>
      <c r="H313" t="s">
        <v>1798</v>
      </c>
      <c r="I313">
        <f t="shared" si="36"/>
        <v>6</v>
      </c>
      <c r="J313" t="s">
        <v>2795</v>
      </c>
      <c r="K313" t="s">
        <v>53</v>
      </c>
      <c r="L313" t="s">
        <v>24</v>
      </c>
      <c r="M313" t="s">
        <v>63</v>
      </c>
      <c r="N313" t="s">
        <v>190</v>
      </c>
      <c r="O313" t="s">
        <v>191</v>
      </c>
      <c r="P313" t="s">
        <v>28</v>
      </c>
      <c r="Q313" t="s">
        <v>124</v>
      </c>
      <c r="R313" t="s">
        <v>1799</v>
      </c>
      <c r="S313" t="s">
        <v>59</v>
      </c>
      <c r="T313">
        <v>4</v>
      </c>
      <c r="U313">
        <v>282.52999999999997</v>
      </c>
      <c r="V313">
        <v>0</v>
      </c>
      <c r="W313">
        <v>0</v>
      </c>
      <c r="X313">
        <v>1130.1199999999999</v>
      </c>
      <c r="Y313">
        <f t="shared" si="32"/>
        <v>1130.1199999999999</v>
      </c>
      <c r="Z313">
        <v>848.62</v>
      </c>
      <c r="AA313">
        <v>281.5</v>
      </c>
      <c r="AB313">
        <f t="shared" si="37"/>
        <v>281.49999999999989</v>
      </c>
      <c r="AC313" s="8">
        <f t="shared" si="38"/>
        <v>0.249088592361873</v>
      </c>
      <c r="AD313" t="s">
        <v>32</v>
      </c>
      <c r="AE313" t="s">
        <v>68</v>
      </c>
      <c r="AF313" t="str">
        <f t="shared" si="39"/>
        <v>Perfect Match</v>
      </c>
    </row>
    <row r="314" spans="1:32">
      <c r="A314" t="str">
        <f>IF(OR(I314&lt;0, ISTEXT(W314), ISTEXT(Y314)), "Invalid", IF(OR(B314="Conflicting Duplicate", M314="Unknown", S314="Unknown"), "Warning", "Valid"))</f>
        <v>Valid</v>
      </c>
      <c r="B314" t="str">
        <f t="shared" si="33"/>
        <v>-</v>
      </c>
      <c r="C314" t="s">
        <v>1803</v>
      </c>
      <c r="D314" s="2">
        <v>45422</v>
      </c>
      <c r="E314" t="str">
        <f t="shared" si="34"/>
        <v>May</v>
      </c>
      <c r="F314">
        <f t="shared" si="35"/>
        <v>2024</v>
      </c>
      <c r="G314" s="2">
        <v>45428</v>
      </c>
      <c r="H314" t="s">
        <v>1804</v>
      </c>
      <c r="I314">
        <f t="shared" si="36"/>
        <v>6</v>
      </c>
      <c r="J314" t="s">
        <v>2795</v>
      </c>
      <c r="K314" t="s">
        <v>23</v>
      </c>
      <c r="L314" t="s">
        <v>24</v>
      </c>
      <c r="M314" t="s">
        <v>25</v>
      </c>
      <c r="N314" t="s">
        <v>122</v>
      </c>
      <c r="O314" t="s">
        <v>123</v>
      </c>
      <c r="P314" t="s">
        <v>28</v>
      </c>
      <c r="Q314" t="s">
        <v>153</v>
      </c>
      <c r="R314" t="s">
        <v>1805</v>
      </c>
      <c r="S314" t="s">
        <v>44</v>
      </c>
      <c r="T314">
        <v>7</v>
      </c>
      <c r="U314">
        <v>121.54</v>
      </c>
      <c r="V314">
        <v>0.2</v>
      </c>
      <c r="W314">
        <v>0.2</v>
      </c>
      <c r="X314">
        <v>680.62</v>
      </c>
      <c r="Y314">
        <f t="shared" si="32"/>
        <v>680.62</v>
      </c>
      <c r="Z314">
        <v>463.49</v>
      </c>
      <c r="AA314">
        <v>217.13</v>
      </c>
      <c r="AB314">
        <f t="shared" si="37"/>
        <v>217.13</v>
      </c>
      <c r="AC314" s="8">
        <f t="shared" si="38"/>
        <v>0.31901795421821277</v>
      </c>
      <c r="AD314" t="s">
        <v>155</v>
      </c>
      <c r="AE314" t="s">
        <v>103</v>
      </c>
      <c r="AF314" t="str">
        <f t="shared" si="39"/>
        <v>Perfect Match</v>
      </c>
    </row>
    <row r="315" spans="1:32">
      <c r="A315" t="str">
        <f>IF(OR(I315&lt;0, ISTEXT(W315), ISTEXT(Y315)), "Invalid", IF(OR(B315="Conflicting Duplicate", M315="Unknown", S315="Unknown"), "Warning", "Valid"))</f>
        <v>Valid</v>
      </c>
      <c r="B315" t="str">
        <f t="shared" si="33"/>
        <v>-</v>
      </c>
      <c r="C315" t="s">
        <v>1806</v>
      </c>
      <c r="D315" s="2">
        <v>45418</v>
      </c>
      <c r="E315" t="str">
        <f t="shared" si="34"/>
        <v>May</v>
      </c>
      <c r="F315">
        <f t="shared" si="35"/>
        <v>2024</v>
      </c>
      <c r="G315" s="2">
        <v>45631</v>
      </c>
      <c r="H315" t="s">
        <v>1807</v>
      </c>
      <c r="I315">
        <f t="shared" si="36"/>
        <v>213</v>
      </c>
      <c r="J315" t="s">
        <v>2795</v>
      </c>
      <c r="K315" t="s">
        <v>53</v>
      </c>
      <c r="L315" t="s">
        <v>90</v>
      </c>
      <c r="M315" t="s">
        <v>63</v>
      </c>
      <c r="N315" t="s">
        <v>190</v>
      </c>
      <c r="O315" t="s">
        <v>191</v>
      </c>
      <c r="P315" t="s">
        <v>41</v>
      </c>
      <c r="Q315" t="s">
        <v>42</v>
      </c>
      <c r="R315" t="s">
        <v>1808</v>
      </c>
      <c r="S315" t="s">
        <v>59</v>
      </c>
      <c r="T315">
        <v>9</v>
      </c>
      <c r="U315">
        <v>790.97</v>
      </c>
      <c r="V315">
        <v>0.2</v>
      </c>
      <c r="W315">
        <v>0.2</v>
      </c>
      <c r="X315">
        <v>5694.98</v>
      </c>
      <c r="Y315">
        <f t="shared" si="32"/>
        <v>5694.98</v>
      </c>
      <c r="Z315">
        <v>4618.33</v>
      </c>
      <c r="AA315">
        <v>1076.6500000000001</v>
      </c>
      <c r="AB315">
        <f t="shared" si="37"/>
        <v>1076.6499999999996</v>
      </c>
      <c r="AC315" s="8">
        <f t="shared" si="38"/>
        <v>0.18905246374877518</v>
      </c>
      <c r="AD315" t="s">
        <v>111</v>
      </c>
      <c r="AE315" t="s">
        <v>68</v>
      </c>
      <c r="AF315" t="str">
        <f t="shared" si="39"/>
        <v>Perfect Match</v>
      </c>
    </row>
    <row r="316" spans="1:32">
      <c r="A316" t="str">
        <f>IF(OR(I316&lt;0, ISTEXT(W316), ISTEXT(Y316)), "Invalid", IF(OR(B316="Conflicting Duplicate", M316="Unknown", S316="Unknown"), "Warning", "Valid"))</f>
        <v>Valid</v>
      </c>
      <c r="B316" t="str">
        <f t="shared" si="33"/>
        <v>-</v>
      </c>
      <c r="C316" t="s">
        <v>1809</v>
      </c>
      <c r="D316" s="2">
        <v>45606</v>
      </c>
      <c r="E316" t="str">
        <f t="shared" si="34"/>
        <v>November</v>
      </c>
      <c r="F316">
        <f t="shared" si="35"/>
        <v>2024</v>
      </c>
      <c r="G316" s="2">
        <v>45610</v>
      </c>
      <c r="H316" t="s">
        <v>1810</v>
      </c>
      <c r="I316">
        <f t="shared" si="36"/>
        <v>4</v>
      </c>
      <c r="J316" t="s">
        <v>2795</v>
      </c>
      <c r="K316" t="s">
        <v>132</v>
      </c>
      <c r="L316" t="s">
        <v>90</v>
      </c>
      <c r="M316" t="s">
        <v>54</v>
      </c>
      <c r="N316" t="s">
        <v>84</v>
      </c>
      <c r="O316" t="s">
        <v>85</v>
      </c>
      <c r="P316" t="s">
        <v>41</v>
      </c>
      <c r="Q316" t="s">
        <v>42</v>
      </c>
      <c r="R316" t="s">
        <v>1811</v>
      </c>
      <c r="S316" t="s">
        <v>50</v>
      </c>
      <c r="T316">
        <v>2</v>
      </c>
      <c r="U316">
        <v>921.34</v>
      </c>
      <c r="V316">
        <v>0.2</v>
      </c>
      <c r="W316">
        <v>0.2</v>
      </c>
      <c r="X316">
        <v>1474.14</v>
      </c>
      <c r="Y316">
        <f t="shared" si="32"/>
        <v>1474.14</v>
      </c>
      <c r="Z316">
        <v>968.46</v>
      </c>
      <c r="AA316">
        <v>505.68</v>
      </c>
      <c r="AB316">
        <f t="shared" si="37"/>
        <v>505.68000000000006</v>
      </c>
      <c r="AC316" s="8">
        <f t="shared" si="38"/>
        <v>0.34303390451381827</v>
      </c>
      <c r="AD316" t="s">
        <v>32</v>
      </c>
      <c r="AE316" t="s">
        <v>33</v>
      </c>
      <c r="AF316" t="str">
        <f t="shared" si="39"/>
        <v>Perfect Match</v>
      </c>
    </row>
    <row r="317" spans="1:32">
      <c r="A317" t="str">
        <f>IF(OR(I317&lt;0, ISTEXT(W317), ISTEXT(Y317)), "Invalid", IF(OR(B317="Conflicting Duplicate", M317="Unknown", S317="Unknown"), "Warning", "Valid"))</f>
        <v>Valid</v>
      </c>
      <c r="B317" t="str">
        <f t="shared" si="33"/>
        <v>-</v>
      </c>
      <c r="C317" t="s">
        <v>1815</v>
      </c>
      <c r="D317" s="2">
        <v>45515</v>
      </c>
      <c r="E317" t="str">
        <f t="shared" si="34"/>
        <v>August</v>
      </c>
      <c r="F317">
        <f t="shared" si="35"/>
        <v>2024</v>
      </c>
      <c r="G317" s="2">
        <v>45523</v>
      </c>
      <c r="H317" t="s">
        <v>1816</v>
      </c>
      <c r="I317">
        <f t="shared" si="36"/>
        <v>8</v>
      </c>
      <c r="J317" t="s">
        <v>2795</v>
      </c>
      <c r="K317" t="s">
        <v>132</v>
      </c>
      <c r="L317" t="s">
        <v>37</v>
      </c>
      <c r="M317" t="s">
        <v>63</v>
      </c>
      <c r="N317" t="s">
        <v>64</v>
      </c>
      <c r="O317" t="s">
        <v>65</v>
      </c>
      <c r="P317" t="s">
        <v>28</v>
      </c>
      <c r="Q317" t="s">
        <v>29</v>
      </c>
      <c r="R317" t="s">
        <v>1817</v>
      </c>
      <c r="S317" t="s">
        <v>44</v>
      </c>
      <c r="T317">
        <v>2</v>
      </c>
      <c r="U317">
        <v>2617.89</v>
      </c>
      <c r="V317">
        <v>0.1</v>
      </c>
      <c r="W317">
        <v>0.1</v>
      </c>
      <c r="X317">
        <v>4712.2</v>
      </c>
      <c r="Y317">
        <f t="shared" si="32"/>
        <v>4712.2</v>
      </c>
      <c r="Z317">
        <v>3851.91</v>
      </c>
      <c r="AA317">
        <v>860.29</v>
      </c>
      <c r="AB317">
        <f t="shared" si="37"/>
        <v>860.29</v>
      </c>
      <c r="AC317" s="8">
        <f t="shared" si="38"/>
        <v>0.18256652943423454</v>
      </c>
      <c r="AD317" t="s">
        <v>155</v>
      </c>
      <c r="AE317" t="s">
        <v>103</v>
      </c>
      <c r="AF317" t="str">
        <f t="shared" si="39"/>
        <v>Perfect Match</v>
      </c>
    </row>
    <row r="318" spans="1:32">
      <c r="A318" t="str">
        <f>IF(OR(I318&lt;0, ISTEXT(W318), ISTEXT(Y318)), "Invalid", IF(OR(B318="Conflicting Duplicate", M318="Unknown", S318="Unknown"), "Warning", "Valid"))</f>
        <v>Valid</v>
      </c>
      <c r="B318" t="str">
        <f t="shared" si="33"/>
        <v>-</v>
      </c>
      <c r="C318" t="s">
        <v>1818</v>
      </c>
      <c r="D318" s="2">
        <v>45328</v>
      </c>
      <c r="E318" t="str">
        <f t="shared" si="34"/>
        <v>February</v>
      </c>
      <c r="F318">
        <f t="shared" si="35"/>
        <v>2024</v>
      </c>
      <c r="G318" s="2">
        <v>45567</v>
      </c>
      <c r="H318" t="s">
        <v>1819</v>
      </c>
      <c r="I318">
        <f t="shared" si="36"/>
        <v>239</v>
      </c>
      <c r="J318" t="s">
        <v>2795</v>
      </c>
      <c r="K318" t="s">
        <v>53</v>
      </c>
      <c r="L318" t="s">
        <v>95</v>
      </c>
      <c r="M318" t="s">
        <v>25</v>
      </c>
      <c r="N318" t="s">
        <v>136</v>
      </c>
      <c r="O318" t="s">
        <v>137</v>
      </c>
      <c r="P318" t="s">
        <v>41</v>
      </c>
      <c r="Q318" t="s">
        <v>57</v>
      </c>
      <c r="R318" t="s">
        <v>600</v>
      </c>
      <c r="S318" t="s">
        <v>44</v>
      </c>
      <c r="T318">
        <v>1</v>
      </c>
      <c r="U318">
        <v>1374.06</v>
      </c>
      <c r="V318">
        <v>0.05</v>
      </c>
      <c r="W318">
        <v>0.05</v>
      </c>
      <c r="X318">
        <v>1305.3599999999999</v>
      </c>
      <c r="Y318">
        <f t="shared" si="32"/>
        <v>1305.3599999999999</v>
      </c>
      <c r="Z318">
        <v>731.89</v>
      </c>
      <c r="AA318">
        <v>573.47</v>
      </c>
      <c r="AB318">
        <f t="shared" si="37"/>
        <v>573.46999999999991</v>
      </c>
      <c r="AC318" s="8">
        <f t="shared" si="38"/>
        <v>0.43931942146227859</v>
      </c>
      <c r="AD318" t="s">
        <v>32</v>
      </c>
      <c r="AE318" t="s">
        <v>33</v>
      </c>
      <c r="AF318" t="str">
        <f t="shared" si="39"/>
        <v>Perfect Match</v>
      </c>
    </row>
    <row r="319" spans="1:32">
      <c r="A319" t="str">
        <f>IF(OR(I319&lt;0, ISTEXT(W319), ISTEXT(Y319)), "Invalid", IF(OR(B319="Conflicting Duplicate", M319="Unknown", S319="Unknown"), "Warning", "Valid"))</f>
        <v>Valid</v>
      </c>
      <c r="B319" t="str">
        <f t="shared" si="33"/>
        <v>-</v>
      </c>
      <c r="C319" t="s">
        <v>1820</v>
      </c>
      <c r="D319" s="2">
        <v>45312</v>
      </c>
      <c r="E319" t="str">
        <f t="shared" si="34"/>
        <v>January</v>
      </c>
      <c r="F319">
        <f t="shared" si="35"/>
        <v>2024</v>
      </c>
      <c r="G319" s="2">
        <v>45315</v>
      </c>
      <c r="H319" t="s">
        <v>1821</v>
      </c>
      <c r="I319">
        <f t="shared" si="36"/>
        <v>3</v>
      </c>
      <c r="J319" t="s">
        <v>2795</v>
      </c>
      <c r="K319" t="s">
        <v>264</v>
      </c>
      <c r="L319" t="s">
        <v>90</v>
      </c>
      <c r="M319" t="s">
        <v>25</v>
      </c>
      <c r="N319" t="s">
        <v>122</v>
      </c>
      <c r="O319" t="s">
        <v>123</v>
      </c>
      <c r="P319" t="s">
        <v>74</v>
      </c>
      <c r="Q319" t="s">
        <v>274</v>
      </c>
      <c r="R319" t="s">
        <v>1822</v>
      </c>
      <c r="S319" t="s">
        <v>44</v>
      </c>
      <c r="T319">
        <v>1</v>
      </c>
      <c r="U319">
        <v>3806.3</v>
      </c>
      <c r="V319">
        <v>0.25</v>
      </c>
      <c r="W319">
        <v>0.25</v>
      </c>
      <c r="X319">
        <v>2854.73</v>
      </c>
      <c r="Y319">
        <f t="shared" si="32"/>
        <v>2854.73</v>
      </c>
      <c r="Z319">
        <v>1968.12</v>
      </c>
      <c r="AA319">
        <v>886.61</v>
      </c>
      <c r="AB319">
        <f t="shared" si="37"/>
        <v>886.61000000000013</v>
      </c>
      <c r="AC319" s="8">
        <f t="shared" si="38"/>
        <v>0.31057578124726337</v>
      </c>
      <c r="AD319" t="s">
        <v>32</v>
      </c>
      <c r="AE319" t="s">
        <v>33</v>
      </c>
      <c r="AF319" t="str">
        <f t="shared" si="39"/>
        <v>Perfect Match</v>
      </c>
    </row>
    <row r="320" spans="1:32">
      <c r="A320" t="str">
        <f>IF(OR(I320&lt;0, ISTEXT(W320), ISTEXT(Y320)), "Invalid", IF(OR(B320="Conflicting Duplicate", M320="Unknown", S320="Unknown"), "Warning", "Valid"))</f>
        <v>Valid</v>
      </c>
      <c r="B320" t="str">
        <f t="shared" si="33"/>
        <v>-</v>
      </c>
      <c r="C320" t="s">
        <v>1832</v>
      </c>
      <c r="D320" s="2">
        <v>45293</v>
      </c>
      <c r="E320" t="str">
        <f t="shared" si="34"/>
        <v>January</v>
      </c>
      <c r="F320">
        <f t="shared" si="35"/>
        <v>2024</v>
      </c>
      <c r="G320" s="2">
        <v>45536</v>
      </c>
      <c r="H320" t="s">
        <v>1833</v>
      </c>
      <c r="I320">
        <f t="shared" si="36"/>
        <v>243</v>
      </c>
      <c r="J320" t="s">
        <v>2795</v>
      </c>
      <c r="K320" t="s">
        <v>162</v>
      </c>
      <c r="L320" t="s">
        <v>90</v>
      </c>
      <c r="M320" t="s">
        <v>25</v>
      </c>
      <c r="N320" t="s">
        <v>350</v>
      </c>
      <c r="O320" t="s">
        <v>351</v>
      </c>
      <c r="P320" t="s">
        <v>74</v>
      </c>
      <c r="Q320" t="s">
        <v>171</v>
      </c>
      <c r="R320" t="s">
        <v>1834</v>
      </c>
      <c r="S320" t="s">
        <v>59</v>
      </c>
      <c r="T320">
        <v>3</v>
      </c>
      <c r="U320">
        <v>739.56</v>
      </c>
      <c r="V320">
        <v>0.2</v>
      </c>
      <c r="W320">
        <v>0.2</v>
      </c>
      <c r="X320">
        <v>1774.94</v>
      </c>
      <c r="Y320">
        <f t="shared" si="32"/>
        <v>1774.94</v>
      </c>
      <c r="Z320">
        <v>1007.4</v>
      </c>
      <c r="AA320">
        <v>767.54</v>
      </c>
      <c r="AB320">
        <f t="shared" si="37"/>
        <v>767.54000000000008</v>
      </c>
      <c r="AC320" s="8">
        <f t="shared" si="38"/>
        <v>0.4324315188119035</v>
      </c>
      <c r="AD320" t="s">
        <v>32</v>
      </c>
      <c r="AE320" t="s">
        <v>33</v>
      </c>
      <c r="AF320" t="str">
        <f t="shared" si="39"/>
        <v>Perfect Match</v>
      </c>
    </row>
    <row r="321" spans="1:32">
      <c r="A321" t="str">
        <f>IF(OR(I321&lt;0, ISTEXT(W321), ISTEXT(Y321)), "Invalid", IF(OR(B321="Conflicting Duplicate", M321="Unknown", S321="Unknown"), "Warning", "Valid"))</f>
        <v>Valid</v>
      </c>
      <c r="B321" t="str">
        <f t="shared" si="33"/>
        <v>-</v>
      </c>
      <c r="C321" t="s">
        <v>1838</v>
      </c>
      <c r="D321" s="2">
        <v>45342</v>
      </c>
      <c r="E321" t="str">
        <f t="shared" si="34"/>
        <v>February</v>
      </c>
      <c r="F321">
        <f t="shared" si="35"/>
        <v>2024</v>
      </c>
      <c r="G321" s="2">
        <v>45347</v>
      </c>
      <c r="H321" t="s">
        <v>809</v>
      </c>
      <c r="I321">
        <f t="shared" si="36"/>
        <v>5</v>
      </c>
      <c r="J321" t="s">
        <v>2795</v>
      </c>
      <c r="K321" t="s">
        <v>162</v>
      </c>
      <c r="L321" t="s">
        <v>95</v>
      </c>
      <c r="M321" t="s">
        <v>25</v>
      </c>
      <c r="N321" t="s">
        <v>122</v>
      </c>
      <c r="O321" t="s">
        <v>123</v>
      </c>
      <c r="P321" t="s">
        <v>74</v>
      </c>
      <c r="Q321" t="s">
        <v>274</v>
      </c>
      <c r="R321" t="s">
        <v>1839</v>
      </c>
      <c r="S321" t="s">
        <v>59</v>
      </c>
      <c r="T321">
        <v>4</v>
      </c>
      <c r="U321">
        <v>1355.8</v>
      </c>
      <c r="V321">
        <v>0</v>
      </c>
      <c r="W321">
        <v>0</v>
      </c>
      <c r="X321">
        <v>5423.2</v>
      </c>
      <c r="Y321">
        <f t="shared" si="32"/>
        <v>5423.2</v>
      </c>
      <c r="Z321">
        <v>4072.44</v>
      </c>
      <c r="AA321">
        <v>1350.76</v>
      </c>
      <c r="AB321">
        <f t="shared" si="37"/>
        <v>1350.7599999999998</v>
      </c>
      <c r="AC321" s="8">
        <f t="shared" si="38"/>
        <v>0.24907065938929043</v>
      </c>
      <c r="AD321" t="s">
        <v>32</v>
      </c>
      <c r="AE321" t="s">
        <v>33</v>
      </c>
      <c r="AF321" t="str">
        <f t="shared" si="39"/>
        <v>Perfect Match</v>
      </c>
    </row>
    <row r="322" spans="1:32">
      <c r="A322" s="6" t="str">
        <f>IF(OR(I322&lt;0, ISTEXT(W322), ISTEXT(Y322)), "Invalid", IF(OR(B322="Conflicting Duplicate", M322="Unknown", S322="Unknown"), "Warning", "Valid"))</f>
        <v>Warning</v>
      </c>
      <c r="B322" t="str">
        <f t="shared" si="33"/>
        <v>-</v>
      </c>
      <c r="C322" t="s">
        <v>1843</v>
      </c>
      <c r="D322" s="2">
        <v>45339</v>
      </c>
      <c r="E322" t="str">
        <f t="shared" si="34"/>
        <v>February</v>
      </c>
      <c r="F322">
        <f t="shared" si="35"/>
        <v>2024</v>
      </c>
      <c r="G322" s="2">
        <v>45345</v>
      </c>
      <c r="H322" t="s">
        <v>1844</v>
      </c>
      <c r="I322">
        <f t="shared" si="36"/>
        <v>6</v>
      </c>
      <c r="J322" t="s">
        <v>2795</v>
      </c>
      <c r="K322" t="s">
        <v>141</v>
      </c>
      <c r="L322" t="s">
        <v>95</v>
      </c>
      <c r="M322" s="4" t="s">
        <v>2790</v>
      </c>
      <c r="N322" t="s">
        <v>145</v>
      </c>
      <c r="O322" t="s">
        <v>146</v>
      </c>
      <c r="P322" t="s">
        <v>28</v>
      </c>
      <c r="Q322" t="s">
        <v>153</v>
      </c>
      <c r="R322" t="s">
        <v>1845</v>
      </c>
      <c r="S322" t="s">
        <v>59</v>
      </c>
      <c r="T322">
        <v>9</v>
      </c>
      <c r="U322">
        <v>2614.46</v>
      </c>
      <c r="V322">
        <v>0</v>
      </c>
      <c r="W322">
        <v>0</v>
      </c>
      <c r="X322">
        <v>23530.14</v>
      </c>
      <c r="Y322">
        <f t="shared" ref="Y322:Y385" si="40">IF(ISTEXT(W322), "Cannot Calculate", ROUND(T322 * U322 * (1 - W322), 2))</f>
        <v>23530.14</v>
      </c>
      <c r="Z322">
        <v>19537.79</v>
      </c>
      <c r="AA322">
        <v>3992.35</v>
      </c>
      <c r="AB322">
        <f t="shared" si="37"/>
        <v>3992.3499999999985</v>
      </c>
      <c r="AC322" s="8">
        <f t="shared" si="38"/>
        <v>0.16966962372514566</v>
      </c>
      <c r="AD322" t="s">
        <v>102</v>
      </c>
      <c r="AE322" t="s">
        <v>103</v>
      </c>
      <c r="AF322" t="str">
        <f t="shared" si="39"/>
        <v>Perfect Match</v>
      </c>
    </row>
    <row r="323" spans="1:32">
      <c r="A323" t="str">
        <f>IF(OR(I323&lt;0, ISTEXT(W323), ISTEXT(Y323)), "Invalid", IF(OR(B323="Conflicting Duplicate", M323="Unknown", S323="Unknown"), "Warning", "Valid"))</f>
        <v>Valid</v>
      </c>
      <c r="B323" t="str">
        <f t="shared" ref="B323:B386" si="41">IF(COUNTIF(C:C, C323)&gt;1, "Conflicting Duplicate", "-")</f>
        <v>-</v>
      </c>
      <c r="C323" t="s">
        <v>1849</v>
      </c>
      <c r="D323" s="2">
        <v>45343</v>
      </c>
      <c r="E323" t="str">
        <f t="shared" ref="E323:E386" si="42">TEXT(D323, "mmmm")</f>
        <v>February</v>
      </c>
      <c r="F323">
        <f t="shared" ref="F323:F386" si="43">YEAR(D323)</f>
        <v>2024</v>
      </c>
      <c r="G323" s="2">
        <v>45345</v>
      </c>
      <c r="H323" t="s">
        <v>295</v>
      </c>
      <c r="I323">
        <f t="shared" ref="I323:I386" si="44">G323-D323</f>
        <v>2</v>
      </c>
      <c r="J323" t="s">
        <v>2795</v>
      </c>
      <c r="K323" t="s">
        <v>79</v>
      </c>
      <c r="L323" t="s">
        <v>37</v>
      </c>
      <c r="M323" t="s">
        <v>63</v>
      </c>
      <c r="N323" t="s">
        <v>180</v>
      </c>
      <c r="O323" t="s">
        <v>181</v>
      </c>
      <c r="P323" t="s">
        <v>74</v>
      </c>
      <c r="Q323" t="s">
        <v>80</v>
      </c>
      <c r="R323" t="s">
        <v>1850</v>
      </c>
      <c r="S323" t="s">
        <v>50</v>
      </c>
      <c r="T323">
        <v>6</v>
      </c>
      <c r="U323">
        <v>2633.65</v>
      </c>
      <c r="V323">
        <v>0.05</v>
      </c>
      <c r="W323">
        <v>0.05</v>
      </c>
      <c r="X323">
        <v>15011.81</v>
      </c>
      <c r="Y323">
        <f t="shared" si="40"/>
        <v>15011.81</v>
      </c>
      <c r="Z323">
        <v>9660.36</v>
      </c>
      <c r="AA323">
        <v>5351.45</v>
      </c>
      <c r="AB323">
        <f t="shared" ref="AB323:AB386" si="45">IF(ISTEXT(Y323), "Cannot Calculate", Y323 - Z323)</f>
        <v>5351.4499999999989</v>
      </c>
      <c r="AC323" s="8">
        <f t="shared" ref="AC323:AC386" si="46">IFERROR(AB323 / Y323, 0)</f>
        <v>0.35648266265027329</v>
      </c>
      <c r="AD323" t="s">
        <v>32</v>
      </c>
      <c r="AE323" t="s">
        <v>33</v>
      </c>
      <c r="AF323" t="str">
        <f t="shared" ref="AF323:AF386" si="47">IF(OR(ISTEXT(Z323), ISTEXT(AB323)), "Calculation Blocked", IF(OR(ROUND(X323, 2) &lt;&gt; ROUND(Y323, 2), ROUND(AA323, 2) &lt;&gt; ROUND(AB323, 2)), "Mismatch Found", "Perfect Match"))</f>
        <v>Perfect Match</v>
      </c>
    </row>
    <row r="324" spans="1:32">
      <c r="A324" t="str">
        <f>IF(OR(I324&lt;0, ISTEXT(W324), ISTEXT(Y324)), "Invalid", IF(OR(B324="Conflicting Duplicate", M324="Unknown", S324="Unknown"), "Warning", "Valid"))</f>
        <v>Valid</v>
      </c>
      <c r="B324" t="str">
        <f t="shared" si="41"/>
        <v>-</v>
      </c>
      <c r="C324" t="s">
        <v>1851</v>
      </c>
      <c r="D324" s="2">
        <v>45462</v>
      </c>
      <c r="E324" t="str">
        <f t="shared" si="42"/>
        <v>June</v>
      </c>
      <c r="F324">
        <f t="shared" si="43"/>
        <v>2024</v>
      </c>
      <c r="G324" s="2">
        <v>45467</v>
      </c>
      <c r="H324" t="s">
        <v>1852</v>
      </c>
      <c r="I324">
        <f t="shared" si="44"/>
        <v>5</v>
      </c>
      <c r="J324" t="s">
        <v>2795</v>
      </c>
      <c r="K324" t="s">
        <v>128</v>
      </c>
      <c r="L324" t="s">
        <v>37</v>
      </c>
      <c r="M324" t="s">
        <v>54</v>
      </c>
      <c r="N324" t="s">
        <v>247</v>
      </c>
      <c r="O324" t="s">
        <v>248</v>
      </c>
      <c r="P324" t="s">
        <v>28</v>
      </c>
      <c r="Q324" t="s">
        <v>124</v>
      </c>
      <c r="R324" t="s">
        <v>1853</v>
      </c>
      <c r="S324" t="s">
        <v>44</v>
      </c>
      <c r="T324">
        <v>1</v>
      </c>
      <c r="U324">
        <v>3202.41</v>
      </c>
      <c r="V324">
        <v>0</v>
      </c>
      <c r="W324">
        <v>0</v>
      </c>
      <c r="X324">
        <v>3202.41</v>
      </c>
      <c r="Y324">
        <f t="shared" si="40"/>
        <v>3202.41</v>
      </c>
      <c r="Z324">
        <v>2608.44</v>
      </c>
      <c r="AA324">
        <v>593.97</v>
      </c>
      <c r="AB324">
        <f t="shared" si="45"/>
        <v>593.9699999999998</v>
      </c>
      <c r="AC324" s="8">
        <f t="shared" si="46"/>
        <v>0.18547593843386695</v>
      </c>
      <c r="AD324" t="s">
        <v>32</v>
      </c>
      <c r="AE324" t="s">
        <v>33</v>
      </c>
      <c r="AF324" t="str">
        <f t="shared" si="47"/>
        <v>Perfect Match</v>
      </c>
    </row>
    <row r="325" spans="1:32">
      <c r="A325" t="str">
        <f>IF(OR(I325&lt;0, ISTEXT(W325), ISTEXT(Y325)), "Invalid", IF(OR(B325="Conflicting Duplicate", M325="Unknown", S325="Unknown"), "Warning", "Valid"))</f>
        <v>Valid</v>
      </c>
      <c r="B325" t="str">
        <f t="shared" si="41"/>
        <v>-</v>
      </c>
      <c r="C325" t="s">
        <v>1860</v>
      </c>
      <c r="D325" s="2">
        <v>45580</v>
      </c>
      <c r="E325" t="str">
        <f t="shared" si="42"/>
        <v>October</v>
      </c>
      <c r="F325">
        <f t="shared" si="43"/>
        <v>2024</v>
      </c>
      <c r="G325" s="2">
        <v>45585</v>
      </c>
      <c r="H325" t="s">
        <v>1861</v>
      </c>
      <c r="I325">
        <f t="shared" si="44"/>
        <v>5</v>
      </c>
      <c r="J325" t="s">
        <v>2795</v>
      </c>
      <c r="K325" t="s">
        <v>62</v>
      </c>
      <c r="L325" t="s">
        <v>24</v>
      </c>
      <c r="M325" t="s">
        <v>38</v>
      </c>
      <c r="N325" t="s">
        <v>39</v>
      </c>
      <c r="O325" t="s">
        <v>40</v>
      </c>
      <c r="P325" t="s">
        <v>28</v>
      </c>
      <c r="Q325" t="s">
        <v>48</v>
      </c>
      <c r="R325" t="s">
        <v>1862</v>
      </c>
      <c r="S325" t="s">
        <v>50</v>
      </c>
      <c r="T325">
        <v>5</v>
      </c>
      <c r="U325">
        <v>671.24</v>
      </c>
      <c r="V325">
        <v>0</v>
      </c>
      <c r="W325">
        <v>0</v>
      </c>
      <c r="X325">
        <v>3356.2</v>
      </c>
      <c r="Y325">
        <f t="shared" si="40"/>
        <v>3356.2</v>
      </c>
      <c r="Z325">
        <v>2205.7199999999998</v>
      </c>
      <c r="AA325">
        <v>1150.48</v>
      </c>
      <c r="AB325">
        <f t="shared" si="45"/>
        <v>1150.48</v>
      </c>
      <c r="AC325" s="8">
        <f t="shared" si="46"/>
        <v>0.34279244383528995</v>
      </c>
      <c r="AD325" t="s">
        <v>111</v>
      </c>
      <c r="AE325" t="s">
        <v>103</v>
      </c>
      <c r="AF325" t="str">
        <f t="shared" si="47"/>
        <v>Perfect Match</v>
      </c>
    </row>
    <row r="326" spans="1:32">
      <c r="A326" t="str">
        <f>IF(OR(I326&lt;0, ISTEXT(W326), ISTEXT(Y326)), "Invalid", IF(OR(B326="Conflicting Duplicate", M326="Unknown", S326="Unknown"), "Warning", "Valid"))</f>
        <v>Valid</v>
      </c>
      <c r="B326" t="str">
        <f t="shared" si="41"/>
        <v>-</v>
      </c>
      <c r="C326" t="s">
        <v>1863</v>
      </c>
      <c r="D326" s="2">
        <v>45350</v>
      </c>
      <c r="E326" t="str">
        <f t="shared" si="42"/>
        <v>February</v>
      </c>
      <c r="F326">
        <f t="shared" si="43"/>
        <v>2024</v>
      </c>
      <c r="G326" s="2">
        <v>45350</v>
      </c>
      <c r="H326" t="s">
        <v>1864</v>
      </c>
      <c r="I326">
        <f t="shared" si="44"/>
        <v>0</v>
      </c>
      <c r="J326" t="s">
        <v>2795</v>
      </c>
      <c r="K326" t="s">
        <v>141</v>
      </c>
      <c r="L326" t="s">
        <v>37</v>
      </c>
      <c r="M326" t="s">
        <v>38</v>
      </c>
      <c r="N326" t="s">
        <v>99</v>
      </c>
      <c r="O326" t="s">
        <v>100</v>
      </c>
      <c r="P326" t="s">
        <v>28</v>
      </c>
      <c r="Q326" t="s">
        <v>124</v>
      </c>
      <c r="R326" t="s">
        <v>1865</v>
      </c>
      <c r="S326" t="s">
        <v>50</v>
      </c>
      <c r="T326">
        <v>1</v>
      </c>
      <c r="U326">
        <v>2626.84</v>
      </c>
      <c r="V326">
        <v>0.2</v>
      </c>
      <c r="W326">
        <v>0.2</v>
      </c>
      <c r="X326">
        <v>2101.4699999999998</v>
      </c>
      <c r="Y326">
        <f t="shared" si="40"/>
        <v>2101.4699999999998</v>
      </c>
      <c r="Z326">
        <v>1217.83</v>
      </c>
      <c r="AA326">
        <v>883.64</v>
      </c>
      <c r="AB326">
        <f t="shared" si="45"/>
        <v>883.63999999999987</v>
      </c>
      <c r="AC326" s="8">
        <f t="shared" si="46"/>
        <v>0.42048661175272545</v>
      </c>
      <c r="AD326" t="s">
        <v>155</v>
      </c>
      <c r="AE326" t="s">
        <v>103</v>
      </c>
      <c r="AF326" t="str">
        <f t="shared" si="47"/>
        <v>Perfect Match</v>
      </c>
    </row>
    <row r="327" spans="1:32">
      <c r="A327" t="str">
        <f>IF(OR(I327&lt;0, ISTEXT(W327), ISTEXT(Y327)), "Invalid", IF(OR(B327="Conflicting Duplicate", M327="Unknown", S327="Unknown"), "Warning", "Valid"))</f>
        <v>Valid</v>
      </c>
      <c r="B327" t="str">
        <f t="shared" si="41"/>
        <v>-</v>
      </c>
      <c r="C327" t="s">
        <v>1866</v>
      </c>
      <c r="D327" s="2">
        <v>45508</v>
      </c>
      <c r="E327" t="str">
        <f t="shared" si="42"/>
        <v>August</v>
      </c>
      <c r="F327">
        <f t="shared" si="43"/>
        <v>2024</v>
      </c>
      <c r="G327" s="2">
        <v>45573</v>
      </c>
      <c r="H327" t="s">
        <v>1867</v>
      </c>
      <c r="I327">
        <f t="shared" si="44"/>
        <v>65</v>
      </c>
      <c r="J327" t="s">
        <v>2795</v>
      </c>
      <c r="K327" t="s">
        <v>71</v>
      </c>
      <c r="L327" t="s">
        <v>24</v>
      </c>
      <c r="M327" t="s">
        <v>38</v>
      </c>
      <c r="N327" t="s">
        <v>145</v>
      </c>
      <c r="O327" t="s">
        <v>146</v>
      </c>
      <c r="P327" t="s">
        <v>28</v>
      </c>
      <c r="Q327" t="s">
        <v>48</v>
      </c>
      <c r="R327" t="s">
        <v>1868</v>
      </c>
      <c r="S327" t="s">
        <v>44</v>
      </c>
      <c r="T327">
        <v>1</v>
      </c>
      <c r="U327">
        <v>984.93</v>
      </c>
      <c r="V327">
        <v>0.15</v>
      </c>
      <c r="W327">
        <v>0.15</v>
      </c>
      <c r="X327">
        <v>837.19</v>
      </c>
      <c r="Y327">
        <f t="shared" si="40"/>
        <v>837.19</v>
      </c>
      <c r="Z327">
        <v>583.79</v>
      </c>
      <c r="AA327">
        <v>253.4</v>
      </c>
      <c r="AB327">
        <f t="shared" si="45"/>
        <v>253.40000000000009</v>
      </c>
      <c r="AC327" s="8">
        <f t="shared" si="46"/>
        <v>0.30267920065934861</v>
      </c>
      <c r="AD327" t="s">
        <v>111</v>
      </c>
      <c r="AE327" t="s">
        <v>103</v>
      </c>
      <c r="AF327" t="str">
        <f t="shared" si="47"/>
        <v>Perfect Match</v>
      </c>
    </row>
    <row r="328" spans="1:32">
      <c r="A328" t="str">
        <f>IF(OR(I328&lt;0, ISTEXT(W328), ISTEXT(Y328)), "Invalid", IF(OR(B328="Conflicting Duplicate", M328="Unknown", S328="Unknown"), "Warning", "Valid"))</f>
        <v>Valid</v>
      </c>
      <c r="B328" t="str">
        <f t="shared" si="41"/>
        <v>-</v>
      </c>
      <c r="C328" t="s">
        <v>1881</v>
      </c>
      <c r="D328" s="2">
        <v>45632</v>
      </c>
      <c r="E328" t="str">
        <f t="shared" si="42"/>
        <v>December</v>
      </c>
      <c r="F328">
        <f t="shared" si="43"/>
        <v>2024</v>
      </c>
      <c r="G328" s="2">
        <v>45638</v>
      </c>
      <c r="H328" t="s">
        <v>1882</v>
      </c>
      <c r="I328">
        <f t="shared" si="44"/>
        <v>6</v>
      </c>
      <c r="J328" t="s">
        <v>2795</v>
      </c>
      <c r="K328" t="s">
        <v>141</v>
      </c>
      <c r="L328" t="s">
        <v>90</v>
      </c>
      <c r="M328" t="s">
        <v>25</v>
      </c>
      <c r="N328" t="s">
        <v>136</v>
      </c>
      <c r="O328" t="s">
        <v>137</v>
      </c>
      <c r="P328" t="s">
        <v>74</v>
      </c>
      <c r="Q328" t="s">
        <v>171</v>
      </c>
      <c r="R328" t="s">
        <v>1883</v>
      </c>
      <c r="S328" t="s">
        <v>50</v>
      </c>
      <c r="T328">
        <v>3</v>
      </c>
      <c r="U328">
        <v>524.75</v>
      </c>
      <c r="V328">
        <v>0</v>
      </c>
      <c r="W328">
        <v>0</v>
      </c>
      <c r="X328">
        <v>1574.25</v>
      </c>
      <c r="Y328">
        <f t="shared" si="40"/>
        <v>1574.25</v>
      </c>
      <c r="Z328">
        <v>1326.12</v>
      </c>
      <c r="AA328">
        <v>248.13</v>
      </c>
      <c r="AB328">
        <f t="shared" si="45"/>
        <v>248.13000000000011</v>
      </c>
      <c r="AC328" s="8">
        <f t="shared" si="46"/>
        <v>0.15761791329204389</v>
      </c>
      <c r="AD328" t="s">
        <v>32</v>
      </c>
      <c r="AE328" t="s">
        <v>33</v>
      </c>
      <c r="AF328" t="str">
        <f t="shared" si="47"/>
        <v>Perfect Match</v>
      </c>
    </row>
    <row r="329" spans="1:32">
      <c r="A329" t="str">
        <f>IF(OR(I329&lt;0, ISTEXT(W329), ISTEXT(Y329)), "Invalid", IF(OR(B329="Conflicting Duplicate", M329="Unknown", S329="Unknown"), "Warning", "Valid"))</f>
        <v>Valid</v>
      </c>
      <c r="B329" t="str">
        <f t="shared" si="41"/>
        <v>-</v>
      </c>
      <c r="C329" t="s">
        <v>1884</v>
      </c>
      <c r="D329" s="2">
        <v>45441</v>
      </c>
      <c r="E329" t="str">
        <f t="shared" si="42"/>
        <v>May</v>
      </c>
      <c r="F329">
        <f t="shared" si="43"/>
        <v>2024</v>
      </c>
      <c r="G329" s="2">
        <v>45441</v>
      </c>
      <c r="H329" t="s">
        <v>1885</v>
      </c>
      <c r="I329">
        <f t="shared" si="44"/>
        <v>0</v>
      </c>
      <c r="J329" t="s">
        <v>2795</v>
      </c>
      <c r="K329" t="s">
        <v>128</v>
      </c>
      <c r="L329" t="s">
        <v>95</v>
      </c>
      <c r="M329" t="s">
        <v>25</v>
      </c>
      <c r="N329" t="s">
        <v>350</v>
      </c>
      <c r="O329" t="s">
        <v>351</v>
      </c>
      <c r="P329" t="s">
        <v>41</v>
      </c>
      <c r="Q329" t="s">
        <v>66</v>
      </c>
      <c r="R329" t="s">
        <v>1886</v>
      </c>
      <c r="S329" t="s">
        <v>44</v>
      </c>
      <c r="T329">
        <v>6</v>
      </c>
      <c r="U329">
        <v>3430.35</v>
      </c>
      <c r="V329">
        <v>0</v>
      </c>
      <c r="W329">
        <v>0</v>
      </c>
      <c r="X329">
        <v>20582.099999999999</v>
      </c>
      <c r="Y329">
        <f t="shared" si="40"/>
        <v>20582.099999999999</v>
      </c>
      <c r="Z329">
        <v>15897.65</v>
      </c>
      <c r="AA329">
        <v>4684.45</v>
      </c>
      <c r="AB329">
        <f t="shared" si="45"/>
        <v>4684.4499999999989</v>
      </c>
      <c r="AC329" s="8">
        <f t="shared" si="46"/>
        <v>0.22759825285077806</v>
      </c>
      <c r="AD329" t="s">
        <v>111</v>
      </c>
      <c r="AE329" t="s">
        <v>68</v>
      </c>
      <c r="AF329" t="str">
        <f t="shared" si="47"/>
        <v>Perfect Match</v>
      </c>
    </row>
    <row r="330" spans="1:32">
      <c r="A330" t="str">
        <f>IF(OR(I330&lt;0, ISTEXT(W330), ISTEXT(Y330)), "Invalid", IF(OR(B330="Conflicting Duplicate", M330="Unknown", S330="Unknown"), "Warning", "Valid"))</f>
        <v>Valid</v>
      </c>
      <c r="B330" t="str">
        <f t="shared" si="41"/>
        <v>-</v>
      </c>
      <c r="C330" t="s">
        <v>1887</v>
      </c>
      <c r="D330" s="2">
        <v>45344</v>
      </c>
      <c r="E330" t="str">
        <f t="shared" si="42"/>
        <v>February</v>
      </c>
      <c r="F330">
        <f t="shared" si="43"/>
        <v>2024</v>
      </c>
      <c r="G330" s="2">
        <v>45346</v>
      </c>
      <c r="H330" t="s">
        <v>1888</v>
      </c>
      <c r="I330">
        <f t="shared" si="44"/>
        <v>2</v>
      </c>
      <c r="J330" t="s">
        <v>2795</v>
      </c>
      <c r="K330" t="s">
        <v>132</v>
      </c>
      <c r="L330" t="s">
        <v>24</v>
      </c>
      <c r="M330" t="s">
        <v>54</v>
      </c>
      <c r="N330" t="s">
        <v>175</v>
      </c>
      <c r="O330" t="s">
        <v>176</v>
      </c>
      <c r="P330" t="s">
        <v>74</v>
      </c>
      <c r="Q330" t="s">
        <v>80</v>
      </c>
      <c r="R330" t="s">
        <v>1889</v>
      </c>
      <c r="S330" t="s">
        <v>50</v>
      </c>
      <c r="T330">
        <v>3</v>
      </c>
      <c r="U330">
        <v>3545.08</v>
      </c>
      <c r="V330">
        <v>0</v>
      </c>
      <c r="W330">
        <v>0</v>
      </c>
      <c r="X330">
        <v>10635.24</v>
      </c>
      <c r="Y330">
        <f t="shared" si="40"/>
        <v>10635.24</v>
      </c>
      <c r="Z330">
        <v>6031.88</v>
      </c>
      <c r="AA330">
        <v>4603.3599999999997</v>
      </c>
      <c r="AB330">
        <f t="shared" si="45"/>
        <v>4603.3599999999997</v>
      </c>
      <c r="AC330" s="8">
        <f t="shared" si="46"/>
        <v>0.43284025560307055</v>
      </c>
      <c r="AD330" t="s">
        <v>155</v>
      </c>
      <c r="AE330" t="s">
        <v>103</v>
      </c>
      <c r="AF330" t="str">
        <f t="shared" si="47"/>
        <v>Perfect Match</v>
      </c>
    </row>
    <row r="331" spans="1:32">
      <c r="A331" s="6" t="str">
        <f>IF(OR(I331&lt;0, ISTEXT(W331), ISTEXT(Y331)), "Invalid", IF(OR(B331="Conflicting Duplicate", M331="Unknown", S331="Unknown"), "Warning", "Valid"))</f>
        <v>Invalid</v>
      </c>
      <c r="B331" t="str">
        <f t="shared" si="41"/>
        <v>-</v>
      </c>
      <c r="C331" t="s">
        <v>1890</v>
      </c>
      <c r="D331" s="2">
        <v>45385</v>
      </c>
      <c r="E331" t="str">
        <f t="shared" si="42"/>
        <v>April</v>
      </c>
      <c r="F331">
        <f t="shared" si="43"/>
        <v>2024</v>
      </c>
      <c r="G331" s="2">
        <v>45360</v>
      </c>
      <c r="H331" t="s">
        <v>1891</v>
      </c>
      <c r="I331" s="7">
        <f t="shared" si="44"/>
        <v>-25</v>
      </c>
      <c r="J331" s="7" t="s">
        <v>2802</v>
      </c>
      <c r="K331" t="s">
        <v>36</v>
      </c>
      <c r="L331" t="s">
        <v>24</v>
      </c>
      <c r="M331" t="s">
        <v>38</v>
      </c>
      <c r="N331" t="s">
        <v>99</v>
      </c>
      <c r="O331" t="s">
        <v>100</v>
      </c>
      <c r="P331" t="s">
        <v>74</v>
      </c>
      <c r="Q331" t="s">
        <v>75</v>
      </c>
      <c r="R331" t="s">
        <v>1892</v>
      </c>
      <c r="S331" t="s">
        <v>44</v>
      </c>
      <c r="T331">
        <v>8</v>
      </c>
      <c r="U331">
        <v>4401.41</v>
      </c>
      <c r="V331">
        <v>0.15</v>
      </c>
      <c r="W331">
        <v>0.15</v>
      </c>
      <c r="X331">
        <v>29929.59</v>
      </c>
      <c r="Y331">
        <f t="shared" si="40"/>
        <v>29929.59</v>
      </c>
      <c r="Z331">
        <v>22436.03</v>
      </c>
      <c r="AA331">
        <v>7493.56</v>
      </c>
      <c r="AB331">
        <f t="shared" si="45"/>
        <v>7493.5600000000013</v>
      </c>
      <c r="AC331" s="8">
        <f t="shared" si="46"/>
        <v>0.25037295866732556</v>
      </c>
      <c r="AD331" t="s">
        <v>32</v>
      </c>
      <c r="AE331" t="s">
        <v>33</v>
      </c>
      <c r="AF331" t="str">
        <f t="shared" si="47"/>
        <v>Perfect Match</v>
      </c>
    </row>
    <row r="332" spans="1:32">
      <c r="A332" t="str">
        <f>IF(OR(I332&lt;0, ISTEXT(W332), ISTEXT(Y332)), "Invalid", IF(OR(B332="Conflicting Duplicate", M332="Unknown", S332="Unknown"), "Warning", "Valid"))</f>
        <v>Valid</v>
      </c>
      <c r="B332" t="str">
        <f t="shared" si="41"/>
        <v>-</v>
      </c>
      <c r="C332" t="s">
        <v>1895</v>
      </c>
      <c r="D332" s="2">
        <v>45554</v>
      </c>
      <c r="E332" t="str">
        <f t="shared" si="42"/>
        <v>September</v>
      </c>
      <c r="F332">
        <f t="shared" si="43"/>
        <v>2024</v>
      </c>
      <c r="G332" s="2">
        <v>45556</v>
      </c>
      <c r="H332" t="s">
        <v>1896</v>
      </c>
      <c r="I332">
        <f t="shared" si="44"/>
        <v>2</v>
      </c>
      <c r="J332" t="s">
        <v>2795</v>
      </c>
      <c r="K332" t="s">
        <v>23</v>
      </c>
      <c r="L332" t="s">
        <v>37</v>
      </c>
      <c r="M332" t="s">
        <v>38</v>
      </c>
      <c r="N332" t="s">
        <v>99</v>
      </c>
      <c r="O332" t="s">
        <v>100</v>
      </c>
      <c r="P332" t="s">
        <v>41</v>
      </c>
      <c r="Q332" t="s">
        <v>66</v>
      </c>
      <c r="R332" t="s">
        <v>1897</v>
      </c>
      <c r="S332" t="s">
        <v>50</v>
      </c>
      <c r="T332">
        <v>3</v>
      </c>
      <c r="U332">
        <v>3981.76</v>
      </c>
      <c r="V332">
        <v>0</v>
      </c>
      <c r="W332">
        <v>0</v>
      </c>
      <c r="X332">
        <v>11945.28</v>
      </c>
      <c r="Y332">
        <f t="shared" si="40"/>
        <v>11945.28</v>
      </c>
      <c r="Z332">
        <v>9700.31</v>
      </c>
      <c r="AA332">
        <v>2244.9699999999998</v>
      </c>
      <c r="AB332">
        <f t="shared" si="45"/>
        <v>2244.9700000000012</v>
      </c>
      <c r="AC332" s="8">
        <f t="shared" si="46"/>
        <v>0.18793782983739193</v>
      </c>
      <c r="AD332" t="s">
        <v>32</v>
      </c>
      <c r="AE332" t="s">
        <v>33</v>
      </c>
      <c r="AF332" t="str">
        <f t="shared" si="47"/>
        <v>Perfect Match</v>
      </c>
    </row>
    <row r="333" spans="1:32">
      <c r="A333" t="str">
        <f>IF(OR(I333&lt;0, ISTEXT(W333), ISTEXT(Y333)), "Invalid", IF(OR(B333="Conflicting Duplicate", M333="Unknown", S333="Unknown"), "Warning", "Valid"))</f>
        <v>Valid</v>
      </c>
      <c r="B333" t="str">
        <f t="shared" si="41"/>
        <v>-</v>
      </c>
      <c r="C333" t="s">
        <v>1901</v>
      </c>
      <c r="D333" s="2">
        <v>45392</v>
      </c>
      <c r="E333" t="str">
        <f t="shared" si="42"/>
        <v>April</v>
      </c>
      <c r="F333">
        <f t="shared" si="43"/>
        <v>2024</v>
      </c>
      <c r="G333" s="2">
        <v>45398</v>
      </c>
      <c r="H333" t="s">
        <v>1902</v>
      </c>
      <c r="I333">
        <f t="shared" si="44"/>
        <v>6</v>
      </c>
      <c r="J333" t="s">
        <v>2795</v>
      </c>
      <c r="K333" t="s">
        <v>89</v>
      </c>
      <c r="L333" t="s">
        <v>24</v>
      </c>
      <c r="M333" t="s">
        <v>54</v>
      </c>
      <c r="N333" t="s">
        <v>185</v>
      </c>
      <c r="O333" t="s">
        <v>186</v>
      </c>
      <c r="P333" t="s">
        <v>41</v>
      </c>
      <c r="Q333" t="s">
        <v>66</v>
      </c>
      <c r="R333" t="s">
        <v>1903</v>
      </c>
      <c r="S333" t="s">
        <v>31</v>
      </c>
      <c r="T333">
        <v>9</v>
      </c>
      <c r="U333">
        <v>2723.26</v>
      </c>
      <c r="V333">
        <v>0.25</v>
      </c>
      <c r="W333">
        <v>0.25</v>
      </c>
      <c r="X333">
        <v>18382.009999999998</v>
      </c>
      <c r="Y333">
        <f t="shared" si="40"/>
        <v>18382.009999999998</v>
      </c>
      <c r="Z333">
        <v>13108.2</v>
      </c>
      <c r="AA333">
        <v>5273.81</v>
      </c>
      <c r="AB333">
        <f t="shared" si="45"/>
        <v>5273.8099999999977</v>
      </c>
      <c r="AC333" s="8">
        <f t="shared" si="46"/>
        <v>0.28690061641789977</v>
      </c>
      <c r="AD333" t="s">
        <v>32</v>
      </c>
      <c r="AE333" t="s">
        <v>33</v>
      </c>
      <c r="AF333" t="str">
        <f t="shared" si="47"/>
        <v>Perfect Match</v>
      </c>
    </row>
    <row r="334" spans="1:32">
      <c r="A334" t="str">
        <f>IF(OR(I334&lt;0, ISTEXT(W334), ISTEXT(Y334)), "Invalid", IF(OR(B334="Conflicting Duplicate", M334="Unknown", S334="Unknown"), "Warning", "Valid"))</f>
        <v>Valid</v>
      </c>
      <c r="B334" t="str">
        <f t="shared" si="41"/>
        <v>-</v>
      </c>
      <c r="C334" t="s">
        <v>1907</v>
      </c>
      <c r="D334" s="2">
        <v>45521</v>
      </c>
      <c r="E334" t="str">
        <f t="shared" si="42"/>
        <v>August</v>
      </c>
      <c r="F334">
        <f t="shared" si="43"/>
        <v>2024</v>
      </c>
      <c r="G334" s="2">
        <v>45528</v>
      </c>
      <c r="H334" t="s">
        <v>1908</v>
      </c>
      <c r="I334">
        <f t="shared" si="44"/>
        <v>7</v>
      </c>
      <c r="J334" t="s">
        <v>2795</v>
      </c>
      <c r="K334" t="s">
        <v>62</v>
      </c>
      <c r="L334" t="s">
        <v>90</v>
      </c>
      <c r="M334" t="s">
        <v>38</v>
      </c>
      <c r="N334" t="s">
        <v>99</v>
      </c>
      <c r="O334" t="s">
        <v>100</v>
      </c>
      <c r="P334" t="s">
        <v>74</v>
      </c>
      <c r="Q334" t="s">
        <v>80</v>
      </c>
      <c r="R334" t="s">
        <v>1909</v>
      </c>
      <c r="S334" t="s">
        <v>44</v>
      </c>
      <c r="T334">
        <v>3</v>
      </c>
      <c r="U334">
        <v>1490.69</v>
      </c>
      <c r="V334">
        <v>0.25</v>
      </c>
      <c r="W334">
        <v>0.25</v>
      </c>
      <c r="X334">
        <v>3354.05</v>
      </c>
      <c r="Y334">
        <f t="shared" si="40"/>
        <v>3354.05</v>
      </c>
      <c r="Z334">
        <v>2672.67</v>
      </c>
      <c r="AA334">
        <v>681.38</v>
      </c>
      <c r="AB334">
        <f t="shared" si="45"/>
        <v>681.38000000000011</v>
      </c>
      <c r="AC334" s="8">
        <f t="shared" si="46"/>
        <v>0.2031514139622248</v>
      </c>
      <c r="AD334" t="s">
        <v>32</v>
      </c>
      <c r="AE334" t="s">
        <v>33</v>
      </c>
      <c r="AF334" t="str">
        <f t="shared" si="47"/>
        <v>Perfect Match</v>
      </c>
    </row>
    <row r="335" spans="1:32">
      <c r="A335" t="str">
        <f>IF(OR(I335&lt;0, ISTEXT(W335), ISTEXT(Y335)), "Invalid", IF(OR(B335="Conflicting Duplicate", M335="Unknown", S335="Unknown"), "Warning", "Valid"))</f>
        <v>Valid</v>
      </c>
      <c r="B335" t="str">
        <f t="shared" si="41"/>
        <v>-</v>
      </c>
      <c r="C335" t="s">
        <v>1910</v>
      </c>
      <c r="D335" s="2">
        <v>45523</v>
      </c>
      <c r="E335" t="str">
        <f t="shared" si="42"/>
        <v>August</v>
      </c>
      <c r="F335">
        <f t="shared" si="43"/>
        <v>2024</v>
      </c>
      <c r="G335" s="2">
        <v>45525</v>
      </c>
      <c r="H335" t="s">
        <v>1911</v>
      </c>
      <c r="I335">
        <f t="shared" si="44"/>
        <v>2</v>
      </c>
      <c r="J335" t="s">
        <v>2795</v>
      </c>
      <c r="K335" t="s">
        <v>53</v>
      </c>
      <c r="L335" t="s">
        <v>24</v>
      </c>
      <c r="M335" t="s">
        <v>25</v>
      </c>
      <c r="N335" t="s">
        <v>122</v>
      </c>
      <c r="O335" t="s">
        <v>123</v>
      </c>
      <c r="P335" t="s">
        <v>74</v>
      </c>
      <c r="Q335" t="s">
        <v>171</v>
      </c>
      <c r="R335" t="s">
        <v>1912</v>
      </c>
      <c r="S335" t="s">
        <v>50</v>
      </c>
      <c r="T335">
        <v>3</v>
      </c>
      <c r="U335">
        <v>1103.54</v>
      </c>
      <c r="V335">
        <v>0.25</v>
      </c>
      <c r="W335">
        <v>0.25</v>
      </c>
      <c r="X335">
        <v>2482.9699999999998</v>
      </c>
      <c r="Y335">
        <f t="shared" si="40"/>
        <v>2482.9699999999998</v>
      </c>
      <c r="Z335">
        <v>1621.72</v>
      </c>
      <c r="AA335">
        <v>861.25</v>
      </c>
      <c r="AB335">
        <f t="shared" si="45"/>
        <v>861.24999999999977</v>
      </c>
      <c r="AC335" s="8">
        <f t="shared" si="46"/>
        <v>0.34686282959520248</v>
      </c>
      <c r="AD335" t="s">
        <v>32</v>
      </c>
      <c r="AE335" t="s">
        <v>33</v>
      </c>
      <c r="AF335" t="str">
        <f t="shared" si="47"/>
        <v>Perfect Match</v>
      </c>
    </row>
    <row r="336" spans="1:32">
      <c r="A336" t="str">
        <f>IF(OR(I336&lt;0, ISTEXT(W336), ISTEXT(Y336)), "Invalid", IF(OR(B336="Conflicting Duplicate", M336="Unknown", S336="Unknown"), "Warning", "Valid"))</f>
        <v>Valid</v>
      </c>
      <c r="B336" t="str">
        <f t="shared" si="41"/>
        <v>-</v>
      </c>
      <c r="C336" t="s">
        <v>1916</v>
      </c>
      <c r="D336" s="2">
        <v>45317</v>
      </c>
      <c r="E336" t="str">
        <f t="shared" si="42"/>
        <v>January</v>
      </c>
      <c r="F336">
        <f t="shared" si="43"/>
        <v>2024</v>
      </c>
      <c r="G336" s="2">
        <v>45322</v>
      </c>
      <c r="H336" t="s">
        <v>1917</v>
      </c>
      <c r="I336">
        <f t="shared" si="44"/>
        <v>5</v>
      </c>
      <c r="J336" t="s">
        <v>2795</v>
      </c>
      <c r="K336" t="s">
        <v>62</v>
      </c>
      <c r="L336" t="s">
        <v>95</v>
      </c>
      <c r="M336" t="s">
        <v>38</v>
      </c>
      <c r="N336" t="s">
        <v>99</v>
      </c>
      <c r="O336" t="s">
        <v>100</v>
      </c>
      <c r="P336" t="s">
        <v>28</v>
      </c>
      <c r="Q336" t="s">
        <v>29</v>
      </c>
      <c r="R336" t="s">
        <v>1918</v>
      </c>
      <c r="S336" t="s">
        <v>31</v>
      </c>
      <c r="T336">
        <v>5</v>
      </c>
      <c r="U336">
        <v>1615.03</v>
      </c>
      <c r="V336">
        <v>0.2</v>
      </c>
      <c r="W336">
        <v>0.2</v>
      </c>
      <c r="X336">
        <v>6460.12</v>
      </c>
      <c r="Y336">
        <f t="shared" si="40"/>
        <v>6460.12</v>
      </c>
      <c r="Z336">
        <v>3604.03</v>
      </c>
      <c r="AA336">
        <v>2856.09</v>
      </c>
      <c r="AB336">
        <f t="shared" si="45"/>
        <v>2856.0899999999997</v>
      </c>
      <c r="AC336" s="8">
        <f t="shared" si="46"/>
        <v>0.44211098245853014</v>
      </c>
      <c r="AD336" t="s">
        <v>32</v>
      </c>
      <c r="AE336" t="s">
        <v>33</v>
      </c>
      <c r="AF336" t="str">
        <f t="shared" si="47"/>
        <v>Perfect Match</v>
      </c>
    </row>
    <row r="337" spans="1:32">
      <c r="A337" t="str">
        <f>IF(OR(I337&lt;0, ISTEXT(W337), ISTEXT(Y337)), "Invalid", IF(OR(B337="Conflicting Duplicate", M337="Unknown", S337="Unknown"), "Warning", "Valid"))</f>
        <v>Valid</v>
      </c>
      <c r="B337" t="str">
        <f t="shared" si="41"/>
        <v>-</v>
      </c>
      <c r="C337" t="s">
        <v>1919</v>
      </c>
      <c r="D337" s="2">
        <v>45588</v>
      </c>
      <c r="E337" t="str">
        <f t="shared" si="42"/>
        <v>October</v>
      </c>
      <c r="F337">
        <f t="shared" si="43"/>
        <v>2024</v>
      </c>
      <c r="G337" s="2">
        <v>45595</v>
      </c>
      <c r="H337" t="s">
        <v>1920</v>
      </c>
      <c r="I337">
        <f t="shared" si="44"/>
        <v>7</v>
      </c>
      <c r="J337" t="s">
        <v>2795</v>
      </c>
      <c r="K337" t="s">
        <v>128</v>
      </c>
      <c r="L337" t="s">
        <v>24</v>
      </c>
      <c r="M337" t="s">
        <v>38</v>
      </c>
      <c r="N337" t="s">
        <v>228</v>
      </c>
      <c r="O337" t="s">
        <v>229</v>
      </c>
      <c r="P337" t="s">
        <v>74</v>
      </c>
      <c r="Q337" t="s">
        <v>80</v>
      </c>
      <c r="R337" t="s">
        <v>1921</v>
      </c>
      <c r="S337" t="s">
        <v>31</v>
      </c>
      <c r="T337">
        <v>9</v>
      </c>
      <c r="U337">
        <v>3423.82</v>
      </c>
      <c r="V337">
        <v>0.15</v>
      </c>
      <c r="W337">
        <v>0.15</v>
      </c>
      <c r="X337">
        <v>26192.22</v>
      </c>
      <c r="Y337">
        <f t="shared" si="40"/>
        <v>26192.22</v>
      </c>
      <c r="Z337">
        <v>20795.55</v>
      </c>
      <c r="AA337">
        <v>5396.67</v>
      </c>
      <c r="AB337">
        <f t="shared" si="45"/>
        <v>5396.6700000000019</v>
      </c>
      <c r="AC337" s="8">
        <f t="shared" si="46"/>
        <v>0.20604095414592583</v>
      </c>
      <c r="AD337" t="s">
        <v>32</v>
      </c>
      <c r="AE337" t="s">
        <v>33</v>
      </c>
      <c r="AF337" t="str">
        <f t="shared" si="47"/>
        <v>Perfect Match</v>
      </c>
    </row>
    <row r="338" spans="1:32">
      <c r="A338" t="str">
        <f>IF(OR(I338&lt;0, ISTEXT(W338), ISTEXT(Y338)), "Invalid", IF(OR(B338="Conflicting Duplicate", M338="Unknown", S338="Unknown"), "Warning", "Valid"))</f>
        <v>Valid</v>
      </c>
      <c r="B338" t="str">
        <f t="shared" si="41"/>
        <v>-</v>
      </c>
      <c r="C338" t="s">
        <v>1936</v>
      </c>
      <c r="D338" s="2">
        <v>45464</v>
      </c>
      <c r="E338" t="str">
        <f t="shared" si="42"/>
        <v>June</v>
      </c>
      <c r="F338">
        <f t="shared" si="43"/>
        <v>2024</v>
      </c>
      <c r="G338" s="2">
        <v>45466</v>
      </c>
      <c r="H338" t="s">
        <v>1712</v>
      </c>
      <c r="I338">
        <f t="shared" si="44"/>
        <v>2</v>
      </c>
      <c r="J338" t="s">
        <v>2795</v>
      </c>
      <c r="K338" t="s">
        <v>23</v>
      </c>
      <c r="L338" t="s">
        <v>95</v>
      </c>
      <c r="M338" t="s">
        <v>63</v>
      </c>
      <c r="N338" t="s">
        <v>190</v>
      </c>
      <c r="O338" t="s">
        <v>191</v>
      </c>
      <c r="P338" t="s">
        <v>41</v>
      </c>
      <c r="Q338" t="s">
        <v>57</v>
      </c>
      <c r="R338" t="s">
        <v>1937</v>
      </c>
      <c r="S338" t="s">
        <v>31</v>
      </c>
      <c r="T338">
        <v>9</v>
      </c>
      <c r="U338">
        <v>2153.75</v>
      </c>
      <c r="V338">
        <v>0</v>
      </c>
      <c r="W338">
        <v>0</v>
      </c>
      <c r="X338">
        <v>19383.75</v>
      </c>
      <c r="Y338">
        <f t="shared" si="40"/>
        <v>19383.75</v>
      </c>
      <c r="Z338">
        <v>11667.43</v>
      </c>
      <c r="AA338">
        <v>7716.32</v>
      </c>
      <c r="AB338">
        <f t="shared" si="45"/>
        <v>7716.32</v>
      </c>
      <c r="AC338" s="8">
        <f t="shared" si="46"/>
        <v>0.39808189849745274</v>
      </c>
      <c r="AD338" t="s">
        <v>32</v>
      </c>
      <c r="AE338" t="s">
        <v>33</v>
      </c>
      <c r="AF338" t="str">
        <f t="shared" si="47"/>
        <v>Perfect Match</v>
      </c>
    </row>
    <row r="339" spans="1:32">
      <c r="A339" t="str">
        <f>IF(OR(I339&lt;0, ISTEXT(W339), ISTEXT(Y339)), "Invalid", IF(OR(B339="Conflicting Duplicate", M339="Unknown", S339="Unknown"), "Warning", "Valid"))</f>
        <v>Valid</v>
      </c>
      <c r="B339" t="str">
        <f t="shared" si="41"/>
        <v>-</v>
      </c>
      <c r="C339" t="s">
        <v>1941</v>
      </c>
      <c r="D339" s="2">
        <v>45432</v>
      </c>
      <c r="E339" t="str">
        <f t="shared" si="42"/>
        <v>May</v>
      </c>
      <c r="F339">
        <f t="shared" si="43"/>
        <v>2024</v>
      </c>
      <c r="G339" s="2">
        <v>45432</v>
      </c>
      <c r="H339" t="s">
        <v>1382</v>
      </c>
      <c r="I339">
        <f t="shared" si="44"/>
        <v>0</v>
      </c>
      <c r="J339" t="s">
        <v>2795</v>
      </c>
      <c r="K339" t="s">
        <v>23</v>
      </c>
      <c r="L339" t="s">
        <v>95</v>
      </c>
      <c r="M339" t="s">
        <v>63</v>
      </c>
      <c r="N339" t="s">
        <v>72</v>
      </c>
      <c r="O339" t="s">
        <v>73</v>
      </c>
      <c r="P339" t="s">
        <v>41</v>
      </c>
      <c r="Q339" t="s">
        <v>66</v>
      </c>
      <c r="R339" t="s">
        <v>1942</v>
      </c>
      <c r="S339" t="s">
        <v>59</v>
      </c>
      <c r="T339">
        <v>1</v>
      </c>
      <c r="U339">
        <v>3032.95</v>
      </c>
      <c r="V339">
        <v>0.1</v>
      </c>
      <c r="W339">
        <v>0.1</v>
      </c>
      <c r="X339">
        <v>2729.65</v>
      </c>
      <c r="Y339">
        <f t="shared" si="40"/>
        <v>2729.66</v>
      </c>
      <c r="Z339">
        <v>1715.36</v>
      </c>
      <c r="AA339">
        <v>1014.29</v>
      </c>
      <c r="AB339">
        <f t="shared" si="45"/>
        <v>1014.3</v>
      </c>
      <c r="AC339" s="8">
        <f t="shared" si="46"/>
        <v>0.37158473949136522</v>
      </c>
      <c r="AD339" t="s">
        <v>32</v>
      </c>
      <c r="AE339" t="s">
        <v>33</v>
      </c>
      <c r="AF339" t="str">
        <f t="shared" si="47"/>
        <v>Mismatch Found</v>
      </c>
    </row>
    <row r="340" spans="1:32">
      <c r="A340" t="str">
        <f>IF(OR(I340&lt;0, ISTEXT(W340), ISTEXT(Y340)), "Invalid", IF(OR(B340="Conflicting Duplicate", M340="Unknown", S340="Unknown"), "Warning", "Valid"))</f>
        <v>Valid</v>
      </c>
      <c r="B340" t="str">
        <f t="shared" si="41"/>
        <v>-</v>
      </c>
      <c r="C340" t="s">
        <v>1949</v>
      </c>
      <c r="D340" s="2">
        <v>45570</v>
      </c>
      <c r="E340" t="str">
        <f t="shared" si="42"/>
        <v>October</v>
      </c>
      <c r="F340">
        <f t="shared" si="43"/>
        <v>2024</v>
      </c>
      <c r="G340" s="2">
        <v>45575</v>
      </c>
      <c r="H340" t="s">
        <v>1950</v>
      </c>
      <c r="I340">
        <f t="shared" si="44"/>
        <v>5</v>
      </c>
      <c r="J340" t="s">
        <v>2795</v>
      </c>
      <c r="K340" t="s">
        <v>162</v>
      </c>
      <c r="L340" t="s">
        <v>95</v>
      </c>
      <c r="M340" t="s">
        <v>63</v>
      </c>
      <c r="N340" t="s">
        <v>180</v>
      </c>
      <c r="O340" t="s">
        <v>181</v>
      </c>
      <c r="P340" t="s">
        <v>74</v>
      </c>
      <c r="Q340" t="s">
        <v>274</v>
      </c>
      <c r="R340" t="s">
        <v>1951</v>
      </c>
      <c r="S340" t="s">
        <v>44</v>
      </c>
      <c r="T340">
        <v>9</v>
      </c>
      <c r="U340">
        <v>3361.3</v>
      </c>
      <c r="V340">
        <v>0.25</v>
      </c>
      <c r="W340">
        <v>0.25</v>
      </c>
      <c r="X340">
        <v>22688.78</v>
      </c>
      <c r="Y340">
        <f t="shared" si="40"/>
        <v>22688.78</v>
      </c>
      <c r="Z340">
        <v>14672.41</v>
      </c>
      <c r="AA340">
        <v>8016.37</v>
      </c>
      <c r="AB340">
        <f t="shared" si="45"/>
        <v>8016.369999999999</v>
      </c>
      <c r="AC340" s="8">
        <f t="shared" si="46"/>
        <v>0.35331868879684142</v>
      </c>
      <c r="AD340" t="s">
        <v>32</v>
      </c>
      <c r="AE340" t="s">
        <v>33</v>
      </c>
      <c r="AF340" t="str">
        <f t="shared" si="47"/>
        <v>Perfect Match</v>
      </c>
    </row>
    <row r="341" spans="1:32">
      <c r="A341" s="6" t="str">
        <f>IF(OR(I341&lt;0, ISTEXT(W341), ISTEXT(Y341)), "Invalid", IF(OR(B341="Conflicting Duplicate", M341="Unknown", S341="Unknown"), "Warning", "Valid"))</f>
        <v>Invalid</v>
      </c>
      <c r="B341" t="str">
        <f t="shared" si="41"/>
        <v>-</v>
      </c>
      <c r="C341" t="s">
        <v>1952</v>
      </c>
      <c r="D341" s="2">
        <v>45598</v>
      </c>
      <c r="E341" t="str">
        <f t="shared" si="42"/>
        <v>November</v>
      </c>
      <c r="F341">
        <f t="shared" si="43"/>
        <v>2024</v>
      </c>
      <c r="G341" s="2">
        <v>45341</v>
      </c>
      <c r="H341" t="s">
        <v>1953</v>
      </c>
      <c r="I341" s="7">
        <f t="shared" si="44"/>
        <v>-257</v>
      </c>
      <c r="J341" s="7" t="s">
        <v>2802</v>
      </c>
      <c r="K341" t="s">
        <v>62</v>
      </c>
      <c r="L341" t="s">
        <v>95</v>
      </c>
      <c r="M341" t="s">
        <v>54</v>
      </c>
      <c r="N341" t="s">
        <v>55</v>
      </c>
      <c r="O341" t="s">
        <v>56</v>
      </c>
      <c r="P341" t="s">
        <v>41</v>
      </c>
      <c r="Q341" t="s">
        <v>66</v>
      </c>
      <c r="R341" t="s">
        <v>1954</v>
      </c>
      <c r="S341" t="s">
        <v>59</v>
      </c>
      <c r="T341">
        <v>8</v>
      </c>
      <c r="U341">
        <v>3398.32</v>
      </c>
      <c r="V341">
        <v>0.25</v>
      </c>
      <c r="W341">
        <v>0.25</v>
      </c>
      <c r="X341">
        <v>20389.919999999998</v>
      </c>
      <c r="Y341">
        <f t="shared" si="40"/>
        <v>20389.919999999998</v>
      </c>
      <c r="Z341">
        <v>16661.080000000002</v>
      </c>
      <c r="AA341">
        <v>3728.84</v>
      </c>
      <c r="AB341">
        <f t="shared" si="45"/>
        <v>3728.8399999999965</v>
      </c>
      <c r="AC341" s="8">
        <f t="shared" si="46"/>
        <v>0.18287663708342144</v>
      </c>
      <c r="AD341" t="s">
        <v>102</v>
      </c>
      <c r="AE341" t="s">
        <v>68</v>
      </c>
      <c r="AF341" t="str">
        <f t="shared" si="47"/>
        <v>Perfect Match</v>
      </c>
    </row>
    <row r="342" spans="1:32">
      <c r="A342" t="str">
        <f>IF(OR(I342&lt;0, ISTEXT(W342), ISTEXT(Y342)), "Invalid", IF(OR(B342="Conflicting Duplicate", M342="Unknown", S342="Unknown"), "Warning", "Valid"))</f>
        <v>Valid</v>
      </c>
      <c r="B342" t="str">
        <f t="shared" si="41"/>
        <v>-</v>
      </c>
      <c r="C342" t="s">
        <v>1955</v>
      </c>
      <c r="D342" s="2">
        <v>45569</v>
      </c>
      <c r="E342" t="str">
        <f t="shared" si="42"/>
        <v>October</v>
      </c>
      <c r="F342">
        <f t="shared" si="43"/>
        <v>2024</v>
      </c>
      <c r="G342" s="2">
        <v>45572</v>
      </c>
      <c r="H342" t="s">
        <v>1956</v>
      </c>
      <c r="I342">
        <f t="shared" si="44"/>
        <v>3</v>
      </c>
      <c r="J342" t="s">
        <v>2795</v>
      </c>
      <c r="K342" t="s">
        <v>118</v>
      </c>
      <c r="L342" t="s">
        <v>90</v>
      </c>
      <c r="M342" t="s">
        <v>54</v>
      </c>
      <c r="N342" t="s">
        <v>185</v>
      </c>
      <c r="O342" t="s">
        <v>186</v>
      </c>
      <c r="P342" t="s">
        <v>28</v>
      </c>
      <c r="Q342" t="s">
        <v>48</v>
      </c>
      <c r="R342" t="s">
        <v>1957</v>
      </c>
      <c r="S342" t="s">
        <v>31</v>
      </c>
      <c r="T342">
        <v>2</v>
      </c>
      <c r="U342">
        <v>3144.38</v>
      </c>
      <c r="V342">
        <v>0.1</v>
      </c>
      <c r="W342">
        <v>0.1</v>
      </c>
      <c r="X342">
        <v>5904.57</v>
      </c>
      <c r="Y342">
        <f t="shared" si="40"/>
        <v>5659.88</v>
      </c>
      <c r="Z342">
        <v>4337.79</v>
      </c>
      <c r="AA342">
        <v>1322.09</v>
      </c>
      <c r="AB342">
        <f t="shared" si="45"/>
        <v>1322.0900000000001</v>
      </c>
      <c r="AC342" s="8">
        <f t="shared" si="46"/>
        <v>0.2335897580867439</v>
      </c>
      <c r="AD342" t="s">
        <v>32</v>
      </c>
      <c r="AE342" t="s">
        <v>33</v>
      </c>
      <c r="AF342" t="str">
        <f t="shared" si="47"/>
        <v>Mismatch Found</v>
      </c>
    </row>
    <row r="343" spans="1:32">
      <c r="A343" t="str">
        <f>IF(OR(I343&lt;0, ISTEXT(W343), ISTEXT(Y343)), "Invalid", IF(OR(B343="Conflicting Duplicate", M343="Unknown", S343="Unknown"), "Warning", "Valid"))</f>
        <v>Valid</v>
      </c>
      <c r="B343" t="str">
        <f t="shared" si="41"/>
        <v>-</v>
      </c>
      <c r="C343" t="s">
        <v>1958</v>
      </c>
      <c r="D343" s="2">
        <v>45520</v>
      </c>
      <c r="E343" t="str">
        <f t="shared" si="42"/>
        <v>August</v>
      </c>
      <c r="F343">
        <f t="shared" si="43"/>
        <v>2024</v>
      </c>
      <c r="G343" s="2">
        <v>45523</v>
      </c>
      <c r="H343" t="s">
        <v>1959</v>
      </c>
      <c r="I343">
        <f t="shared" si="44"/>
        <v>3</v>
      </c>
      <c r="J343" t="s">
        <v>2795</v>
      </c>
      <c r="K343" t="s">
        <v>264</v>
      </c>
      <c r="L343" t="s">
        <v>24</v>
      </c>
      <c r="M343" t="s">
        <v>54</v>
      </c>
      <c r="N343" t="s">
        <v>55</v>
      </c>
      <c r="O343" t="s">
        <v>56</v>
      </c>
      <c r="P343" t="s">
        <v>28</v>
      </c>
      <c r="Q343" t="s">
        <v>29</v>
      </c>
      <c r="R343" t="s">
        <v>1960</v>
      </c>
      <c r="S343" t="s">
        <v>59</v>
      </c>
      <c r="T343">
        <v>6</v>
      </c>
      <c r="U343">
        <v>3925.55</v>
      </c>
      <c r="V343">
        <v>0.2</v>
      </c>
      <c r="W343">
        <v>0.2</v>
      </c>
      <c r="X343">
        <v>18842.64</v>
      </c>
      <c r="Y343">
        <f t="shared" si="40"/>
        <v>18842.64</v>
      </c>
      <c r="Z343">
        <v>11840.58</v>
      </c>
      <c r="AA343">
        <v>7002.06</v>
      </c>
      <c r="AB343">
        <f t="shared" si="45"/>
        <v>7002.0599999999995</v>
      </c>
      <c r="AC343" s="8">
        <f t="shared" si="46"/>
        <v>0.37160716332743182</v>
      </c>
      <c r="AD343" t="s">
        <v>32</v>
      </c>
      <c r="AE343" t="s">
        <v>33</v>
      </c>
      <c r="AF343" t="str">
        <f t="shared" si="47"/>
        <v>Perfect Match</v>
      </c>
    </row>
    <row r="344" spans="1:32">
      <c r="A344" t="str">
        <f>IF(OR(I344&lt;0, ISTEXT(W344), ISTEXT(Y344)), "Invalid", IF(OR(B344="Conflicting Duplicate", M344="Unknown", S344="Unknown"), "Warning", "Valid"))</f>
        <v>Valid</v>
      </c>
      <c r="B344" t="str">
        <f t="shared" si="41"/>
        <v>-</v>
      </c>
      <c r="C344" t="s">
        <v>1961</v>
      </c>
      <c r="D344" s="2">
        <v>45564</v>
      </c>
      <c r="E344" t="str">
        <f t="shared" si="42"/>
        <v>September</v>
      </c>
      <c r="F344">
        <f t="shared" si="43"/>
        <v>2024</v>
      </c>
      <c r="G344" s="2">
        <v>45565</v>
      </c>
      <c r="H344" t="s">
        <v>1962</v>
      </c>
      <c r="I344">
        <f t="shared" si="44"/>
        <v>1</v>
      </c>
      <c r="J344" t="s">
        <v>2795</v>
      </c>
      <c r="K344" t="s">
        <v>36</v>
      </c>
      <c r="L344" t="s">
        <v>95</v>
      </c>
      <c r="M344" t="s">
        <v>54</v>
      </c>
      <c r="N344" t="s">
        <v>55</v>
      </c>
      <c r="O344" t="s">
        <v>56</v>
      </c>
      <c r="P344" t="s">
        <v>74</v>
      </c>
      <c r="Q344" t="s">
        <v>171</v>
      </c>
      <c r="R344" t="s">
        <v>1963</v>
      </c>
      <c r="S344" t="s">
        <v>59</v>
      </c>
      <c r="T344">
        <v>9</v>
      </c>
      <c r="U344">
        <v>2741.91</v>
      </c>
      <c r="V344">
        <v>0</v>
      </c>
      <c r="W344">
        <v>0</v>
      </c>
      <c r="X344">
        <v>24677.19</v>
      </c>
      <c r="Y344">
        <f t="shared" si="40"/>
        <v>24677.19</v>
      </c>
      <c r="Z344">
        <v>20350.849999999999</v>
      </c>
      <c r="AA344">
        <v>4326.34</v>
      </c>
      <c r="AB344">
        <f t="shared" si="45"/>
        <v>4326.34</v>
      </c>
      <c r="AC344" s="8">
        <f t="shared" si="46"/>
        <v>0.17531736798233513</v>
      </c>
      <c r="AD344" t="s">
        <v>32</v>
      </c>
      <c r="AE344" t="s">
        <v>33</v>
      </c>
      <c r="AF344" t="str">
        <f t="shared" si="47"/>
        <v>Perfect Match</v>
      </c>
    </row>
    <row r="345" spans="1:32">
      <c r="A345" t="str">
        <f>IF(OR(I345&lt;0, ISTEXT(W345), ISTEXT(Y345)), "Invalid", IF(OR(B345="Conflicting Duplicate", M345="Unknown", S345="Unknown"), "Warning", "Valid"))</f>
        <v>Valid</v>
      </c>
      <c r="B345" t="str">
        <f t="shared" si="41"/>
        <v>-</v>
      </c>
      <c r="C345" t="s">
        <v>1964</v>
      </c>
      <c r="D345" s="2">
        <v>45496</v>
      </c>
      <c r="E345" t="str">
        <f t="shared" si="42"/>
        <v>July</v>
      </c>
      <c r="F345">
        <f t="shared" si="43"/>
        <v>2024</v>
      </c>
      <c r="G345" s="2">
        <v>45503</v>
      </c>
      <c r="H345" t="s">
        <v>1965</v>
      </c>
      <c r="I345">
        <f t="shared" si="44"/>
        <v>7</v>
      </c>
      <c r="J345" t="s">
        <v>2795</v>
      </c>
      <c r="K345" t="s">
        <v>264</v>
      </c>
      <c r="L345" t="s">
        <v>90</v>
      </c>
      <c r="M345" t="s">
        <v>25</v>
      </c>
      <c r="N345" t="s">
        <v>26</v>
      </c>
      <c r="O345" t="s">
        <v>27</v>
      </c>
      <c r="P345" t="s">
        <v>41</v>
      </c>
      <c r="Q345" t="s">
        <v>42</v>
      </c>
      <c r="R345" t="s">
        <v>1966</v>
      </c>
      <c r="S345" t="s">
        <v>44</v>
      </c>
      <c r="T345">
        <v>9</v>
      </c>
      <c r="U345">
        <v>1870.11</v>
      </c>
      <c r="V345">
        <v>0.25</v>
      </c>
      <c r="W345">
        <v>0.25</v>
      </c>
      <c r="X345">
        <v>12623.24</v>
      </c>
      <c r="Y345">
        <f t="shared" si="40"/>
        <v>12623.24</v>
      </c>
      <c r="Z345">
        <v>10540.8</v>
      </c>
      <c r="AA345">
        <v>2082.44</v>
      </c>
      <c r="AB345">
        <f t="shared" si="45"/>
        <v>2082.4400000000005</v>
      </c>
      <c r="AC345" s="8">
        <f t="shared" si="46"/>
        <v>0.1649687401966532</v>
      </c>
      <c r="AD345" t="s">
        <v>155</v>
      </c>
      <c r="AE345" t="s">
        <v>68</v>
      </c>
      <c r="AF345" t="str">
        <f t="shared" si="47"/>
        <v>Perfect Match</v>
      </c>
    </row>
    <row r="346" spans="1:32">
      <c r="A346" t="str">
        <f>IF(OR(I346&lt;0, ISTEXT(W346), ISTEXT(Y346)), "Invalid", IF(OR(B346="Conflicting Duplicate", M346="Unknown", S346="Unknown"), "Warning", "Valid"))</f>
        <v>Valid</v>
      </c>
      <c r="B346" t="str">
        <f t="shared" si="41"/>
        <v>-</v>
      </c>
      <c r="C346" t="s">
        <v>1967</v>
      </c>
      <c r="D346" s="2">
        <v>45618</v>
      </c>
      <c r="E346" t="str">
        <f t="shared" si="42"/>
        <v>November</v>
      </c>
      <c r="F346">
        <f t="shared" si="43"/>
        <v>2024</v>
      </c>
      <c r="G346" s="2">
        <v>45623</v>
      </c>
      <c r="H346" t="s">
        <v>1968</v>
      </c>
      <c r="I346">
        <f t="shared" si="44"/>
        <v>5</v>
      </c>
      <c r="J346" t="s">
        <v>2795</v>
      </c>
      <c r="K346" t="s">
        <v>114</v>
      </c>
      <c r="L346" t="s">
        <v>90</v>
      </c>
      <c r="M346" t="s">
        <v>54</v>
      </c>
      <c r="N346" t="s">
        <v>247</v>
      </c>
      <c r="O346" t="s">
        <v>248</v>
      </c>
      <c r="P346" t="s">
        <v>28</v>
      </c>
      <c r="Q346" t="s">
        <v>153</v>
      </c>
      <c r="R346" t="s">
        <v>1969</v>
      </c>
      <c r="S346" t="s">
        <v>50</v>
      </c>
      <c r="T346">
        <v>1</v>
      </c>
      <c r="U346">
        <v>4251.26</v>
      </c>
      <c r="V346">
        <v>0.2</v>
      </c>
      <c r="W346">
        <v>0.2</v>
      </c>
      <c r="X346">
        <v>3401.01</v>
      </c>
      <c r="Y346">
        <f t="shared" si="40"/>
        <v>3401.01</v>
      </c>
      <c r="Z346">
        <v>2917.54</v>
      </c>
      <c r="AA346">
        <v>483.47</v>
      </c>
      <c r="AB346">
        <f t="shared" si="45"/>
        <v>483.47000000000025</v>
      </c>
      <c r="AC346" s="8">
        <f t="shared" si="46"/>
        <v>0.142154830476829</v>
      </c>
      <c r="AD346" t="s">
        <v>102</v>
      </c>
      <c r="AE346" t="s">
        <v>103</v>
      </c>
      <c r="AF346" t="str">
        <f t="shared" si="47"/>
        <v>Perfect Match</v>
      </c>
    </row>
    <row r="347" spans="1:32">
      <c r="A347" t="str">
        <f>IF(OR(I347&lt;0, ISTEXT(W347), ISTEXT(Y347)), "Invalid", IF(OR(B347="Conflicting Duplicate", M347="Unknown", S347="Unknown"), "Warning", "Valid"))</f>
        <v>Valid</v>
      </c>
      <c r="B347" t="str">
        <f t="shared" si="41"/>
        <v>-</v>
      </c>
      <c r="C347" t="s">
        <v>1970</v>
      </c>
      <c r="D347" s="2">
        <v>45522</v>
      </c>
      <c r="E347" t="str">
        <f t="shared" si="42"/>
        <v>August</v>
      </c>
      <c r="F347">
        <f t="shared" si="43"/>
        <v>2024</v>
      </c>
      <c r="G347" s="2">
        <v>45525</v>
      </c>
      <c r="H347" t="s">
        <v>1971</v>
      </c>
      <c r="I347">
        <f t="shared" si="44"/>
        <v>3</v>
      </c>
      <c r="J347" t="s">
        <v>2795</v>
      </c>
      <c r="K347" t="s">
        <v>71</v>
      </c>
      <c r="L347" t="s">
        <v>24</v>
      </c>
      <c r="M347" t="s">
        <v>25</v>
      </c>
      <c r="N347" t="s">
        <v>136</v>
      </c>
      <c r="O347" t="s">
        <v>137</v>
      </c>
      <c r="P347" t="s">
        <v>74</v>
      </c>
      <c r="Q347" t="s">
        <v>274</v>
      </c>
      <c r="R347" t="s">
        <v>1972</v>
      </c>
      <c r="S347" t="s">
        <v>59</v>
      </c>
      <c r="T347">
        <v>9</v>
      </c>
      <c r="U347">
        <v>734.34</v>
      </c>
      <c r="V347">
        <v>0</v>
      </c>
      <c r="W347">
        <v>0</v>
      </c>
      <c r="X347">
        <v>6609.06</v>
      </c>
      <c r="Y347">
        <f t="shared" si="40"/>
        <v>6609.06</v>
      </c>
      <c r="Z347">
        <v>4946.78</v>
      </c>
      <c r="AA347">
        <v>1662.28</v>
      </c>
      <c r="AB347">
        <f t="shared" si="45"/>
        <v>1662.2800000000007</v>
      </c>
      <c r="AC347" s="8">
        <f t="shared" si="46"/>
        <v>0.25151534408826681</v>
      </c>
      <c r="AD347" t="s">
        <v>32</v>
      </c>
      <c r="AE347" t="s">
        <v>33</v>
      </c>
      <c r="AF347" t="str">
        <f t="shared" si="47"/>
        <v>Perfect Match</v>
      </c>
    </row>
    <row r="348" spans="1:32">
      <c r="A348" s="6" t="str">
        <f>IF(OR(I348&lt;0, ISTEXT(W348), ISTEXT(Y348)), "Invalid", IF(OR(B348="Conflicting Duplicate", M348="Unknown", S348="Unknown"), "Warning", "Valid"))</f>
        <v>Invalid</v>
      </c>
      <c r="B348" t="str">
        <f t="shared" si="41"/>
        <v>-</v>
      </c>
      <c r="C348" t="s">
        <v>1973</v>
      </c>
      <c r="D348" s="2">
        <v>45624</v>
      </c>
      <c r="E348" t="str">
        <f t="shared" si="42"/>
        <v>November</v>
      </c>
      <c r="F348">
        <f t="shared" si="43"/>
        <v>2024</v>
      </c>
      <c r="G348" s="2">
        <v>45455</v>
      </c>
      <c r="H348" t="s">
        <v>1974</v>
      </c>
      <c r="I348" s="7">
        <f t="shared" si="44"/>
        <v>-169</v>
      </c>
      <c r="J348" s="7" t="s">
        <v>2802</v>
      </c>
      <c r="K348" t="s">
        <v>89</v>
      </c>
      <c r="L348" t="s">
        <v>24</v>
      </c>
      <c r="M348" t="s">
        <v>63</v>
      </c>
      <c r="N348" t="s">
        <v>64</v>
      </c>
      <c r="O348" t="s">
        <v>65</v>
      </c>
      <c r="P348" t="s">
        <v>41</v>
      </c>
      <c r="Q348" t="s">
        <v>66</v>
      </c>
      <c r="R348" t="s">
        <v>1975</v>
      </c>
      <c r="S348" t="s">
        <v>44</v>
      </c>
      <c r="T348">
        <v>5</v>
      </c>
      <c r="U348">
        <v>1092.8399999999999</v>
      </c>
      <c r="V348">
        <f>IF(ROUND(T330*U330, 2)=ROUND(X330, 2), 0, "Flag - Missing Value")</f>
        <v>0</v>
      </c>
      <c r="W348">
        <v>0</v>
      </c>
      <c r="X348">
        <v>5464.2</v>
      </c>
      <c r="Y348">
        <f t="shared" si="40"/>
        <v>5464.2</v>
      </c>
      <c r="Z348">
        <v>3318.09</v>
      </c>
      <c r="AA348">
        <v>2146.11</v>
      </c>
      <c r="AB348">
        <f t="shared" si="45"/>
        <v>2146.1099999999997</v>
      </c>
      <c r="AC348" s="8">
        <f t="shared" si="46"/>
        <v>0.39275831777753373</v>
      </c>
      <c r="AD348" t="s">
        <v>32</v>
      </c>
      <c r="AE348" t="s">
        <v>33</v>
      </c>
      <c r="AF348" t="str">
        <f t="shared" si="47"/>
        <v>Perfect Match</v>
      </c>
    </row>
    <row r="349" spans="1:32">
      <c r="A349" t="str">
        <f>IF(OR(I349&lt;0, ISTEXT(W349), ISTEXT(Y349)), "Invalid", IF(OR(B349="Conflicting Duplicate", M349="Unknown", S349="Unknown"), "Warning", "Valid"))</f>
        <v>Valid</v>
      </c>
      <c r="B349" t="str">
        <f t="shared" si="41"/>
        <v>-</v>
      </c>
      <c r="C349" t="s">
        <v>1979</v>
      </c>
      <c r="D349" s="2">
        <v>45512</v>
      </c>
      <c r="E349" t="str">
        <f t="shared" si="42"/>
        <v>August</v>
      </c>
      <c r="F349">
        <f t="shared" si="43"/>
        <v>2024</v>
      </c>
      <c r="G349" s="2">
        <v>45518</v>
      </c>
      <c r="H349" t="s">
        <v>1980</v>
      </c>
      <c r="I349">
        <f t="shared" si="44"/>
        <v>6</v>
      </c>
      <c r="J349" t="s">
        <v>2795</v>
      </c>
      <c r="K349" t="s">
        <v>71</v>
      </c>
      <c r="L349" t="s">
        <v>95</v>
      </c>
      <c r="M349" t="s">
        <v>25</v>
      </c>
      <c r="N349" t="s">
        <v>122</v>
      </c>
      <c r="O349" t="s">
        <v>123</v>
      </c>
      <c r="P349" t="s">
        <v>28</v>
      </c>
      <c r="Q349" t="s">
        <v>124</v>
      </c>
      <c r="R349" t="s">
        <v>1981</v>
      </c>
      <c r="S349" t="s">
        <v>31</v>
      </c>
      <c r="T349">
        <v>8</v>
      </c>
      <c r="U349">
        <v>1359.19</v>
      </c>
      <c r="V349">
        <v>0.05</v>
      </c>
      <c r="W349">
        <v>0.05</v>
      </c>
      <c r="X349">
        <v>10329.84</v>
      </c>
      <c r="Y349">
        <f t="shared" si="40"/>
        <v>10329.84</v>
      </c>
      <c r="Z349">
        <v>7512.22</v>
      </c>
      <c r="AA349">
        <v>2817.62</v>
      </c>
      <c r="AB349">
        <f t="shared" si="45"/>
        <v>2817.62</v>
      </c>
      <c r="AC349" s="8">
        <f t="shared" si="46"/>
        <v>0.27276511543257204</v>
      </c>
      <c r="AD349" t="s">
        <v>32</v>
      </c>
      <c r="AE349" t="s">
        <v>33</v>
      </c>
      <c r="AF349" t="str">
        <f t="shared" si="47"/>
        <v>Perfect Match</v>
      </c>
    </row>
    <row r="350" spans="1:32">
      <c r="A350" t="str">
        <f>IF(OR(I350&lt;0, ISTEXT(W350), ISTEXT(Y350)), "Invalid", IF(OR(B350="Conflicting Duplicate", M350="Unknown", S350="Unknown"), "Warning", "Valid"))</f>
        <v>Valid</v>
      </c>
      <c r="B350" t="str">
        <f t="shared" si="41"/>
        <v>-</v>
      </c>
      <c r="C350" t="s">
        <v>1982</v>
      </c>
      <c r="D350" s="2">
        <v>45321</v>
      </c>
      <c r="E350" t="str">
        <f t="shared" si="42"/>
        <v>January</v>
      </c>
      <c r="F350">
        <f t="shared" si="43"/>
        <v>2024</v>
      </c>
      <c r="G350" s="2">
        <v>45323</v>
      </c>
      <c r="H350" t="s">
        <v>1983</v>
      </c>
      <c r="I350">
        <f t="shared" si="44"/>
        <v>2</v>
      </c>
      <c r="J350" t="s">
        <v>2795</v>
      </c>
      <c r="K350" t="s">
        <v>79</v>
      </c>
      <c r="L350" t="s">
        <v>95</v>
      </c>
      <c r="M350" t="s">
        <v>38</v>
      </c>
      <c r="N350" t="s">
        <v>166</v>
      </c>
      <c r="O350" t="s">
        <v>167</v>
      </c>
      <c r="P350" t="s">
        <v>41</v>
      </c>
      <c r="Q350" t="s">
        <v>66</v>
      </c>
      <c r="R350" t="s">
        <v>1984</v>
      </c>
      <c r="S350" t="s">
        <v>50</v>
      </c>
      <c r="T350">
        <v>2</v>
      </c>
      <c r="U350">
        <v>4451.03</v>
      </c>
      <c r="V350">
        <v>0.05</v>
      </c>
      <c r="W350">
        <v>0.05</v>
      </c>
      <c r="X350">
        <v>8456.9599999999991</v>
      </c>
      <c r="Y350">
        <f t="shared" si="40"/>
        <v>8456.9599999999991</v>
      </c>
      <c r="Z350">
        <v>5462.85</v>
      </c>
      <c r="AA350">
        <v>2994.11</v>
      </c>
      <c r="AB350">
        <f t="shared" si="45"/>
        <v>2994.1099999999988</v>
      </c>
      <c r="AC350" s="8">
        <f t="shared" si="46"/>
        <v>0.35404093196609643</v>
      </c>
      <c r="AD350" t="s">
        <v>32</v>
      </c>
      <c r="AE350" t="s">
        <v>33</v>
      </c>
      <c r="AF350" t="str">
        <f t="shared" si="47"/>
        <v>Perfect Match</v>
      </c>
    </row>
    <row r="351" spans="1:32">
      <c r="A351" t="str">
        <f>IF(OR(I351&lt;0, ISTEXT(W351), ISTEXT(Y351)), "Invalid", IF(OR(B351="Conflicting Duplicate", M351="Unknown", S351="Unknown"), "Warning", "Valid"))</f>
        <v>Valid</v>
      </c>
      <c r="B351" t="str">
        <f t="shared" si="41"/>
        <v>-</v>
      </c>
      <c r="C351" t="s">
        <v>1985</v>
      </c>
      <c r="D351" s="2">
        <v>45641</v>
      </c>
      <c r="E351" t="str">
        <f t="shared" si="42"/>
        <v>December</v>
      </c>
      <c r="F351">
        <f t="shared" si="43"/>
        <v>2024</v>
      </c>
      <c r="G351" s="2">
        <v>45647</v>
      </c>
      <c r="H351" t="s">
        <v>1986</v>
      </c>
      <c r="I351">
        <f t="shared" si="44"/>
        <v>6</v>
      </c>
      <c r="J351" t="s">
        <v>2795</v>
      </c>
      <c r="K351" t="s">
        <v>162</v>
      </c>
      <c r="L351" t="s">
        <v>90</v>
      </c>
      <c r="M351" t="s">
        <v>63</v>
      </c>
      <c r="N351" t="s">
        <v>26</v>
      </c>
      <c r="O351" t="s">
        <v>109</v>
      </c>
      <c r="P351" t="s">
        <v>41</v>
      </c>
      <c r="Q351" t="s">
        <v>66</v>
      </c>
      <c r="R351" t="s">
        <v>1987</v>
      </c>
      <c r="S351" t="s">
        <v>44</v>
      </c>
      <c r="T351">
        <v>3</v>
      </c>
      <c r="U351">
        <v>527.66999999999996</v>
      </c>
      <c r="V351">
        <v>0.2</v>
      </c>
      <c r="W351">
        <v>0.2</v>
      </c>
      <c r="X351">
        <v>1266.4100000000001</v>
      </c>
      <c r="Y351">
        <f t="shared" si="40"/>
        <v>1266.4100000000001</v>
      </c>
      <c r="Z351">
        <v>983.92</v>
      </c>
      <c r="AA351">
        <v>282.49</v>
      </c>
      <c r="AB351">
        <f t="shared" si="45"/>
        <v>282.49000000000012</v>
      </c>
      <c r="AC351" s="8">
        <f t="shared" si="46"/>
        <v>0.22306362078631731</v>
      </c>
      <c r="AD351" t="s">
        <v>32</v>
      </c>
      <c r="AE351" t="s">
        <v>33</v>
      </c>
      <c r="AF351" t="str">
        <f t="shared" si="47"/>
        <v>Perfect Match</v>
      </c>
    </row>
    <row r="352" spans="1:32">
      <c r="A352" t="str">
        <f>IF(OR(I352&lt;0, ISTEXT(W352), ISTEXT(Y352)), "Invalid", IF(OR(B352="Conflicting Duplicate", M352="Unknown", S352="Unknown"), "Warning", "Valid"))</f>
        <v>Valid</v>
      </c>
      <c r="B352" t="str">
        <f t="shared" si="41"/>
        <v>-</v>
      </c>
      <c r="C352" t="s">
        <v>2000</v>
      </c>
      <c r="D352" s="2">
        <v>45391</v>
      </c>
      <c r="E352" t="str">
        <f t="shared" si="42"/>
        <v>April</v>
      </c>
      <c r="F352">
        <f t="shared" si="43"/>
        <v>2024</v>
      </c>
      <c r="G352" s="2">
        <v>45392</v>
      </c>
      <c r="H352" t="s">
        <v>2001</v>
      </c>
      <c r="I352">
        <f t="shared" si="44"/>
        <v>1</v>
      </c>
      <c r="J352" t="s">
        <v>2795</v>
      </c>
      <c r="K352" t="s">
        <v>114</v>
      </c>
      <c r="L352" t="s">
        <v>90</v>
      </c>
      <c r="M352" t="s">
        <v>38</v>
      </c>
      <c r="N352" t="s">
        <v>166</v>
      </c>
      <c r="O352" t="s">
        <v>167</v>
      </c>
      <c r="P352" t="s">
        <v>28</v>
      </c>
      <c r="Q352" t="s">
        <v>29</v>
      </c>
      <c r="R352" t="s">
        <v>2002</v>
      </c>
      <c r="S352" t="s">
        <v>59</v>
      </c>
      <c r="T352">
        <v>4</v>
      </c>
      <c r="U352">
        <v>3047.05</v>
      </c>
      <c r="V352">
        <v>0.1</v>
      </c>
      <c r="W352">
        <v>0.1</v>
      </c>
      <c r="X352">
        <v>10969.38</v>
      </c>
      <c r="Y352">
        <f t="shared" si="40"/>
        <v>10969.38</v>
      </c>
      <c r="Z352">
        <v>9254.4599999999991</v>
      </c>
      <c r="AA352">
        <v>1714.92</v>
      </c>
      <c r="AB352">
        <f t="shared" si="45"/>
        <v>1714.92</v>
      </c>
      <c r="AC352" s="8">
        <f t="shared" si="46"/>
        <v>0.15633700354988159</v>
      </c>
      <c r="AD352" t="s">
        <v>32</v>
      </c>
      <c r="AE352" t="s">
        <v>33</v>
      </c>
      <c r="AF352" t="str">
        <f t="shared" si="47"/>
        <v>Perfect Match</v>
      </c>
    </row>
    <row r="353" spans="1:32">
      <c r="A353" t="str">
        <f>IF(OR(I353&lt;0, ISTEXT(W353), ISTEXT(Y353)), "Invalid", IF(OR(B353="Conflicting Duplicate", M353="Unknown", S353="Unknown"), "Warning", "Valid"))</f>
        <v>Valid</v>
      </c>
      <c r="B353" t="str">
        <f t="shared" si="41"/>
        <v>-</v>
      </c>
      <c r="C353" t="s">
        <v>2003</v>
      </c>
      <c r="D353" s="2">
        <v>45392</v>
      </c>
      <c r="E353" t="str">
        <f t="shared" si="42"/>
        <v>April</v>
      </c>
      <c r="F353">
        <f t="shared" si="43"/>
        <v>2024</v>
      </c>
      <c r="G353" s="2">
        <v>45397</v>
      </c>
      <c r="H353" t="s">
        <v>2004</v>
      </c>
      <c r="I353">
        <f t="shared" si="44"/>
        <v>5</v>
      </c>
      <c r="J353" t="s">
        <v>2795</v>
      </c>
      <c r="K353" t="s">
        <v>128</v>
      </c>
      <c r="L353" t="s">
        <v>95</v>
      </c>
      <c r="M353" t="s">
        <v>63</v>
      </c>
      <c r="N353" t="s">
        <v>26</v>
      </c>
      <c r="O353" t="s">
        <v>109</v>
      </c>
      <c r="P353" t="s">
        <v>41</v>
      </c>
      <c r="Q353" t="s">
        <v>66</v>
      </c>
      <c r="R353" t="s">
        <v>2005</v>
      </c>
      <c r="S353" t="s">
        <v>59</v>
      </c>
      <c r="T353">
        <v>8</v>
      </c>
      <c r="U353">
        <v>4362.4799999999996</v>
      </c>
      <c r="V353">
        <v>0.1</v>
      </c>
      <c r="W353">
        <v>0.1</v>
      </c>
      <c r="X353">
        <v>31409.86</v>
      </c>
      <c r="Y353">
        <f t="shared" si="40"/>
        <v>31409.86</v>
      </c>
      <c r="Z353">
        <v>22523.54</v>
      </c>
      <c r="AA353">
        <v>8886.32</v>
      </c>
      <c r="AB353">
        <f t="shared" si="45"/>
        <v>8886.32</v>
      </c>
      <c r="AC353" s="8">
        <f t="shared" si="46"/>
        <v>0.28291498274745575</v>
      </c>
      <c r="AD353" t="s">
        <v>32</v>
      </c>
      <c r="AE353" t="s">
        <v>33</v>
      </c>
      <c r="AF353" t="str">
        <f t="shared" si="47"/>
        <v>Perfect Match</v>
      </c>
    </row>
    <row r="354" spans="1:32">
      <c r="A354" t="str">
        <f>IF(OR(I354&lt;0, ISTEXT(W354), ISTEXT(Y354)), "Invalid", IF(OR(B354="Conflicting Duplicate", M354="Unknown", S354="Unknown"), "Warning", "Valid"))</f>
        <v>Valid</v>
      </c>
      <c r="B354" t="str">
        <f t="shared" si="41"/>
        <v>-</v>
      </c>
      <c r="C354" t="s">
        <v>2015</v>
      </c>
      <c r="D354" s="2">
        <v>45432</v>
      </c>
      <c r="E354" t="str">
        <f t="shared" si="42"/>
        <v>May</v>
      </c>
      <c r="F354">
        <f t="shared" si="43"/>
        <v>2024</v>
      </c>
      <c r="G354" s="2">
        <v>45437</v>
      </c>
      <c r="H354" t="s">
        <v>2016</v>
      </c>
      <c r="I354">
        <f t="shared" si="44"/>
        <v>5</v>
      </c>
      <c r="J354" t="s">
        <v>2795</v>
      </c>
      <c r="K354" t="s">
        <v>36</v>
      </c>
      <c r="L354" t="s">
        <v>90</v>
      </c>
      <c r="M354" t="s">
        <v>54</v>
      </c>
      <c r="N354" t="s">
        <v>84</v>
      </c>
      <c r="O354" t="s">
        <v>85</v>
      </c>
      <c r="P354" t="s">
        <v>41</v>
      </c>
      <c r="Q354" t="s">
        <v>66</v>
      </c>
      <c r="R354" t="s">
        <v>2017</v>
      </c>
      <c r="S354" t="s">
        <v>44</v>
      </c>
      <c r="T354">
        <v>7</v>
      </c>
      <c r="U354">
        <v>3122.85</v>
      </c>
      <c r="V354">
        <v>0.25</v>
      </c>
      <c r="W354">
        <v>0.25</v>
      </c>
      <c r="X354">
        <v>16394.96</v>
      </c>
      <c r="Y354">
        <f t="shared" si="40"/>
        <v>16394.96</v>
      </c>
      <c r="Z354">
        <v>10404.17</v>
      </c>
      <c r="AA354">
        <v>5990.79</v>
      </c>
      <c r="AB354">
        <f t="shared" si="45"/>
        <v>5990.7899999999991</v>
      </c>
      <c r="AC354" s="8">
        <f t="shared" si="46"/>
        <v>0.36540436817168198</v>
      </c>
      <c r="AD354" t="s">
        <v>32</v>
      </c>
      <c r="AE354" t="s">
        <v>33</v>
      </c>
      <c r="AF354" t="str">
        <f t="shared" si="47"/>
        <v>Perfect Match</v>
      </c>
    </row>
    <row r="355" spans="1:32">
      <c r="A355" t="str">
        <f>IF(OR(I355&lt;0, ISTEXT(W355), ISTEXT(Y355)), "Invalid", IF(OR(B355="Conflicting Duplicate", M355="Unknown", S355="Unknown"), "Warning", "Valid"))</f>
        <v>Valid</v>
      </c>
      <c r="B355" t="str">
        <f t="shared" si="41"/>
        <v>-</v>
      </c>
      <c r="C355" t="s">
        <v>2018</v>
      </c>
      <c r="D355" s="2">
        <v>45567</v>
      </c>
      <c r="E355" t="str">
        <f t="shared" si="42"/>
        <v>October</v>
      </c>
      <c r="F355">
        <f t="shared" si="43"/>
        <v>2024</v>
      </c>
      <c r="G355" s="2">
        <v>45574</v>
      </c>
      <c r="H355" t="s">
        <v>2019</v>
      </c>
      <c r="I355">
        <f t="shared" si="44"/>
        <v>7</v>
      </c>
      <c r="J355" t="s">
        <v>2795</v>
      </c>
      <c r="K355" t="s">
        <v>62</v>
      </c>
      <c r="L355" t="s">
        <v>24</v>
      </c>
      <c r="M355" t="s">
        <v>54</v>
      </c>
      <c r="N355" t="s">
        <v>247</v>
      </c>
      <c r="O355" t="s">
        <v>248</v>
      </c>
      <c r="P355" t="s">
        <v>28</v>
      </c>
      <c r="Q355" t="s">
        <v>29</v>
      </c>
      <c r="R355" t="s">
        <v>2020</v>
      </c>
      <c r="S355" t="s">
        <v>59</v>
      </c>
      <c r="T355">
        <v>8</v>
      </c>
      <c r="U355">
        <v>1910.31</v>
      </c>
      <c r="V355">
        <v>0.15</v>
      </c>
      <c r="W355">
        <v>0.15</v>
      </c>
      <c r="X355">
        <v>12990.11</v>
      </c>
      <c r="Y355">
        <f t="shared" si="40"/>
        <v>12990.11</v>
      </c>
      <c r="Z355">
        <v>10200.799999999999</v>
      </c>
      <c r="AA355">
        <v>2789.31</v>
      </c>
      <c r="AB355">
        <f t="shared" si="45"/>
        <v>2789.3100000000013</v>
      </c>
      <c r="AC355" s="8">
        <f t="shared" si="46"/>
        <v>0.21472566437081758</v>
      </c>
      <c r="AD355" t="s">
        <v>32</v>
      </c>
      <c r="AE355" t="s">
        <v>33</v>
      </c>
      <c r="AF355" t="str">
        <f t="shared" si="47"/>
        <v>Perfect Match</v>
      </c>
    </row>
    <row r="356" spans="1:32">
      <c r="A356" t="str">
        <f>IF(OR(I356&lt;0, ISTEXT(W356), ISTEXT(Y356)), "Invalid", IF(OR(B356="Conflicting Duplicate", M356="Unknown", S356="Unknown"), "Warning", "Valid"))</f>
        <v>Valid</v>
      </c>
      <c r="B356" t="str">
        <f t="shared" si="41"/>
        <v>-</v>
      </c>
      <c r="C356" t="s">
        <v>2021</v>
      </c>
      <c r="D356" s="2">
        <v>45438</v>
      </c>
      <c r="E356" t="str">
        <f t="shared" si="42"/>
        <v>May</v>
      </c>
      <c r="F356">
        <f t="shared" si="43"/>
        <v>2024</v>
      </c>
      <c r="G356" s="2">
        <v>45438</v>
      </c>
      <c r="H356" t="s">
        <v>2022</v>
      </c>
      <c r="I356">
        <f t="shared" si="44"/>
        <v>0</v>
      </c>
      <c r="J356" t="s">
        <v>2795</v>
      </c>
      <c r="K356" t="s">
        <v>118</v>
      </c>
      <c r="L356" t="s">
        <v>37</v>
      </c>
      <c r="M356" t="s">
        <v>63</v>
      </c>
      <c r="N356" t="s">
        <v>190</v>
      </c>
      <c r="O356" t="s">
        <v>191</v>
      </c>
      <c r="P356" t="s">
        <v>74</v>
      </c>
      <c r="Q356" t="s">
        <v>80</v>
      </c>
      <c r="R356" t="s">
        <v>2023</v>
      </c>
      <c r="S356" t="s">
        <v>50</v>
      </c>
      <c r="T356">
        <v>2</v>
      </c>
      <c r="U356">
        <v>3192.47</v>
      </c>
      <c r="V356">
        <v>0.2</v>
      </c>
      <c r="W356">
        <v>0.2</v>
      </c>
      <c r="X356">
        <v>5107.95</v>
      </c>
      <c r="Y356">
        <f t="shared" si="40"/>
        <v>5107.95</v>
      </c>
      <c r="Z356">
        <v>3133.08</v>
      </c>
      <c r="AA356">
        <v>1974.87</v>
      </c>
      <c r="AB356">
        <f t="shared" si="45"/>
        <v>1974.87</v>
      </c>
      <c r="AC356" s="8">
        <f t="shared" si="46"/>
        <v>0.38662672892256189</v>
      </c>
      <c r="AD356" t="s">
        <v>32</v>
      </c>
      <c r="AE356" t="s">
        <v>33</v>
      </c>
      <c r="AF356" t="str">
        <f t="shared" si="47"/>
        <v>Perfect Match</v>
      </c>
    </row>
    <row r="357" spans="1:32">
      <c r="A357" t="str">
        <f>IF(OR(I357&lt;0, ISTEXT(W357), ISTEXT(Y357)), "Invalid", IF(OR(B357="Conflicting Duplicate", M357="Unknown", S357="Unknown"), "Warning", "Valid"))</f>
        <v>Valid</v>
      </c>
      <c r="B357" t="str">
        <f t="shared" si="41"/>
        <v>-</v>
      </c>
      <c r="C357" t="s">
        <v>2024</v>
      </c>
      <c r="D357" s="2">
        <v>45317</v>
      </c>
      <c r="E357" t="str">
        <f t="shared" si="42"/>
        <v>January</v>
      </c>
      <c r="F357">
        <f t="shared" si="43"/>
        <v>2024</v>
      </c>
      <c r="G357" s="2">
        <v>45322</v>
      </c>
      <c r="H357" t="s">
        <v>2025</v>
      </c>
      <c r="I357">
        <f t="shared" si="44"/>
        <v>5</v>
      </c>
      <c r="J357" t="s">
        <v>2795</v>
      </c>
      <c r="K357" t="s">
        <v>23</v>
      </c>
      <c r="L357" t="s">
        <v>90</v>
      </c>
      <c r="M357" t="s">
        <v>54</v>
      </c>
      <c r="N357" t="s">
        <v>185</v>
      </c>
      <c r="O357" t="s">
        <v>186</v>
      </c>
      <c r="P357" t="s">
        <v>28</v>
      </c>
      <c r="Q357" t="s">
        <v>124</v>
      </c>
      <c r="R357" t="s">
        <v>2026</v>
      </c>
      <c r="S357" t="s">
        <v>31</v>
      </c>
      <c r="T357">
        <v>3</v>
      </c>
      <c r="U357">
        <v>3224.32</v>
      </c>
      <c r="V357">
        <v>0.2</v>
      </c>
      <c r="W357">
        <v>0.2</v>
      </c>
      <c r="X357">
        <v>7738.37</v>
      </c>
      <c r="Y357">
        <f t="shared" si="40"/>
        <v>7738.37</v>
      </c>
      <c r="Z357">
        <v>4626.8500000000004</v>
      </c>
      <c r="AA357">
        <v>3111.52</v>
      </c>
      <c r="AB357">
        <f t="shared" si="45"/>
        <v>3111.5199999999995</v>
      </c>
      <c r="AC357" s="8">
        <f t="shared" si="46"/>
        <v>0.40208984579439849</v>
      </c>
      <c r="AD357" t="s">
        <v>155</v>
      </c>
      <c r="AE357" t="s">
        <v>103</v>
      </c>
      <c r="AF357" t="str">
        <f t="shared" si="47"/>
        <v>Perfect Match</v>
      </c>
    </row>
    <row r="358" spans="1:32">
      <c r="A358" t="str">
        <f>IF(OR(I358&lt;0, ISTEXT(W358), ISTEXT(Y358)), "Invalid", IF(OR(B358="Conflicting Duplicate", M358="Unknown", S358="Unknown"), "Warning", "Valid"))</f>
        <v>Valid</v>
      </c>
      <c r="B358" t="str">
        <f t="shared" si="41"/>
        <v>-</v>
      </c>
      <c r="C358" t="s">
        <v>2027</v>
      </c>
      <c r="D358" s="2">
        <v>45653</v>
      </c>
      <c r="E358" t="str">
        <f t="shared" si="42"/>
        <v>December</v>
      </c>
      <c r="F358">
        <f t="shared" si="43"/>
        <v>2024</v>
      </c>
      <c r="G358" s="2">
        <v>45657</v>
      </c>
      <c r="H358" t="s">
        <v>2028</v>
      </c>
      <c r="I358">
        <f t="shared" si="44"/>
        <v>4</v>
      </c>
      <c r="J358" t="s">
        <v>2795</v>
      </c>
      <c r="K358" t="s">
        <v>47</v>
      </c>
      <c r="L358" t="s">
        <v>37</v>
      </c>
      <c r="M358" t="s">
        <v>38</v>
      </c>
      <c r="N358" t="s">
        <v>39</v>
      </c>
      <c r="O358" t="s">
        <v>40</v>
      </c>
      <c r="P358" t="s">
        <v>41</v>
      </c>
      <c r="Q358" t="s">
        <v>66</v>
      </c>
      <c r="R358" t="s">
        <v>2029</v>
      </c>
      <c r="S358" t="s">
        <v>31</v>
      </c>
      <c r="T358">
        <v>1</v>
      </c>
      <c r="U358">
        <v>1594.7</v>
      </c>
      <c r="V358">
        <v>0.05</v>
      </c>
      <c r="W358">
        <v>0.05</v>
      </c>
      <c r="X358">
        <v>1514.96</v>
      </c>
      <c r="Y358">
        <f t="shared" si="40"/>
        <v>1514.97</v>
      </c>
      <c r="Z358">
        <v>1046.17</v>
      </c>
      <c r="AA358">
        <v>468.79</v>
      </c>
      <c r="AB358">
        <f t="shared" si="45"/>
        <v>468.79999999999995</v>
      </c>
      <c r="AC358" s="8">
        <f t="shared" si="46"/>
        <v>0.30944507151956802</v>
      </c>
      <c r="AD358" t="s">
        <v>32</v>
      </c>
      <c r="AE358" t="s">
        <v>33</v>
      </c>
      <c r="AF358" t="str">
        <f t="shared" si="47"/>
        <v>Mismatch Found</v>
      </c>
    </row>
    <row r="359" spans="1:32">
      <c r="A359" t="str">
        <f>IF(OR(I359&lt;0, ISTEXT(W359), ISTEXT(Y359)), "Invalid", IF(OR(B359="Conflicting Duplicate", M359="Unknown", S359="Unknown"), "Warning", "Valid"))</f>
        <v>Valid</v>
      </c>
      <c r="B359" t="str">
        <f t="shared" si="41"/>
        <v>-</v>
      </c>
      <c r="C359" t="s">
        <v>2036</v>
      </c>
      <c r="D359" s="2">
        <v>45533</v>
      </c>
      <c r="E359" t="str">
        <f t="shared" si="42"/>
        <v>August</v>
      </c>
      <c r="F359">
        <f t="shared" si="43"/>
        <v>2024</v>
      </c>
      <c r="G359" s="2">
        <v>45535</v>
      </c>
      <c r="H359" t="s">
        <v>2037</v>
      </c>
      <c r="I359">
        <f t="shared" si="44"/>
        <v>2</v>
      </c>
      <c r="J359" t="s">
        <v>2795</v>
      </c>
      <c r="K359" t="s">
        <v>47</v>
      </c>
      <c r="L359" t="s">
        <v>95</v>
      </c>
      <c r="M359" t="s">
        <v>38</v>
      </c>
      <c r="N359" t="s">
        <v>166</v>
      </c>
      <c r="O359" t="s">
        <v>167</v>
      </c>
      <c r="P359" t="s">
        <v>28</v>
      </c>
      <c r="Q359" t="s">
        <v>2038</v>
      </c>
      <c r="R359" t="s">
        <v>2039</v>
      </c>
      <c r="S359" t="s">
        <v>31</v>
      </c>
      <c r="T359">
        <v>9</v>
      </c>
      <c r="U359">
        <v>1275.21</v>
      </c>
      <c r="V359">
        <v>0.25</v>
      </c>
      <c r="W359">
        <v>0.25</v>
      </c>
      <c r="X359">
        <v>8607.67</v>
      </c>
      <c r="Y359">
        <f t="shared" si="40"/>
        <v>8607.67</v>
      </c>
      <c r="Z359">
        <v>5337.64</v>
      </c>
      <c r="AA359">
        <v>3270.03</v>
      </c>
      <c r="AB359">
        <f t="shared" si="45"/>
        <v>3270.0299999999997</v>
      </c>
      <c r="AC359" s="8">
        <f t="shared" si="46"/>
        <v>0.37989723119032209</v>
      </c>
      <c r="AD359" t="s">
        <v>155</v>
      </c>
      <c r="AE359" t="s">
        <v>103</v>
      </c>
      <c r="AF359" t="str">
        <f t="shared" si="47"/>
        <v>Perfect Match</v>
      </c>
    </row>
    <row r="360" spans="1:32">
      <c r="A360" s="6" t="str">
        <f>IF(OR(I360&lt;0, ISTEXT(W360), ISTEXT(Y360)), "Invalid", IF(OR(B360="Conflicting Duplicate", M360="Unknown", S360="Unknown"), "Warning", "Valid"))</f>
        <v>Invalid</v>
      </c>
      <c r="B360" t="str">
        <f t="shared" si="41"/>
        <v>-</v>
      </c>
      <c r="C360" t="s">
        <v>2040</v>
      </c>
      <c r="D360" s="2">
        <v>45414</v>
      </c>
      <c r="E360" t="str">
        <f t="shared" si="42"/>
        <v>May</v>
      </c>
      <c r="F360">
        <f t="shared" si="43"/>
        <v>2024</v>
      </c>
      <c r="G360" s="2">
        <v>45335</v>
      </c>
      <c r="H360" t="s">
        <v>726</v>
      </c>
      <c r="I360" s="7">
        <f t="shared" si="44"/>
        <v>-79</v>
      </c>
      <c r="J360" s="7" t="s">
        <v>2802</v>
      </c>
      <c r="K360" t="s">
        <v>128</v>
      </c>
      <c r="L360" t="s">
        <v>95</v>
      </c>
      <c r="M360" t="s">
        <v>25</v>
      </c>
      <c r="N360" t="s">
        <v>136</v>
      </c>
      <c r="O360" t="s">
        <v>137</v>
      </c>
      <c r="P360" t="s">
        <v>28</v>
      </c>
      <c r="Q360" t="s">
        <v>91</v>
      </c>
      <c r="R360" t="s">
        <v>2041</v>
      </c>
      <c r="S360" t="s">
        <v>59</v>
      </c>
      <c r="T360">
        <v>8</v>
      </c>
      <c r="U360">
        <v>3871.18</v>
      </c>
      <c r="V360">
        <v>0.15</v>
      </c>
      <c r="W360">
        <v>0.15</v>
      </c>
      <c r="X360">
        <v>26324.02</v>
      </c>
      <c r="Y360">
        <f t="shared" si="40"/>
        <v>26324.02</v>
      </c>
      <c r="Z360">
        <v>16277.96</v>
      </c>
      <c r="AA360">
        <v>10046.06</v>
      </c>
      <c r="AB360">
        <f t="shared" si="45"/>
        <v>10046.060000000001</v>
      </c>
      <c r="AC360" s="8">
        <f t="shared" si="46"/>
        <v>0.3816309211131127</v>
      </c>
      <c r="AD360" t="s">
        <v>155</v>
      </c>
      <c r="AE360" t="s">
        <v>103</v>
      </c>
      <c r="AF360" t="str">
        <f t="shared" si="47"/>
        <v>Perfect Match</v>
      </c>
    </row>
    <row r="361" spans="1:32">
      <c r="A361" t="str">
        <f>IF(OR(I361&lt;0, ISTEXT(W361), ISTEXT(Y361)), "Invalid", IF(OR(B361="Conflicting Duplicate", M361="Unknown", S361="Unknown"), "Warning", "Valid"))</f>
        <v>Valid</v>
      </c>
      <c r="B361" t="str">
        <f t="shared" si="41"/>
        <v>-</v>
      </c>
      <c r="C361" t="s">
        <v>2045</v>
      </c>
      <c r="D361" s="2">
        <v>45295</v>
      </c>
      <c r="E361" t="str">
        <f t="shared" si="42"/>
        <v>January</v>
      </c>
      <c r="F361">
        <f t="shared" si="43"/>
        <v>2024</v>
      </c>
      <c r="G361" s="2">
        <v>45536</v>
      </c>
      <c r="H361" t="s">
        <v>2046</v>
      </c>
      <c r="I361">
        <f t="shared" si="44"/>
        <v>241</v>
      </c>
      <c r="J361" t="s">
        <v>2795</v>
      </c>
      <c r="K361" t="s">
        <v>264</v>
      </c>
      <c r="L361" t="s">
        <v>24</v>
      </c>
      <c r="M361" t="s">
        <v>38</v>
      </c>
      <c r="N361" t="s">
        <v>145</v>
      </c>
      <c r="O361" t="s">
        <v>146</v>
      </c>
      <c r="P361" t="s">
        <v>41</v>
      </c>
      <c r="Q361" t="s">
        <v>66</v>
      </c>
      <c r="R361" t="s">
        <v>2047</v>
      </c>
      <c r="S361" t="s">
        <v>31</v>
      </c>
      <c r="T361">
        <v>6</v>
      </c>
      <c r="U361">
        <v>2423.61</v>
      </c>
      <c r="V361">
        <v>0.1</v>
      </c>
      <c r="W361">
        <v>0.1</v>
      </c>
      <c r="X361">
        <v>13087.49</v>
      </c>
      <c r="Y361">
        <f t="shared" si="40"/>
        <v>13087.49</v>
      </c>
      <c r="Z361">
        <v>7608.89</v>
      </c>
      <c r="AA361">
        <v>5133.22</v>
      </c>
      <c r="AB361">
        <f t="shared" si="45"/>
        <v>5478.5999999999995</v>
      </c>
      <c r="AC361" s="8">
        <f t="shared" si="46"/>
        <v>0.41861350037325717</v>
      </c>
      <c r="AD361" t="s">
        <v>32</v>
      </c>
      <c r="AE361" t="s">
        <v>33</v>
      </c>
      <c r="AF361" t="str">
        <f t="shared" si="47"/>
        <v>Mismatch Found</v>
      </c>
    </row>
    <row r="362" spans="1:32">
      <c r="A362" t="str">
        <f>IF(OR(I362&lt;0, ISTEXT(W362), ISTEXT(Y362)), "Invalid", IF(OR(B362="Conflicting Duplicate", M362="Unknown", S362="Unknown"), "Warning", "Valid"))</f>
        <v>Valid</v>
      </c>
      <c r="B362" t="str">
        <f t="shared" si="41"/>
        <v>-</v>
      </c>
      <c r="C362" t="s">
        <v>2048</v>
      </c>
      <c r="D362" s="2">
        <v>45553</v>
      </c>
      <c r="E362" t="str">
        <f t="shared" si="42"/>
        <v>September</v>
      </c>
      <c r="F362">
        <f t="shared" si="43"/>
        <v>2024</v>
      </c>
      <c r="G362" s="2">
        <v>45559</v>
      </c>
      <c r="H362" t="s">
        <v>2049</v>
      </c>
      <c r="I362">
        <f t="shared" si="44"/>
        <v>6</v>
      </c>
      <c r="J362" t="s">
        <v>2795</v>
      </c>
      <c r="K362" t="s">
        <v>71</v>
      </c>
      <c r="L362" t="s">
        <v>37</v>
      </c>
      <c r="M362" t="s">
        <v>38</v>
      </c>
      <c r="N362" t="s">
        <v>228</v>
      </c>
      <c r="O362" t="s">
        <v>229</v>
      </c>
      <c r="P362" t="s">
        <v>74</v>
      </c>
      <c r="Q362" t="s">
        <v>274</v>
      </c>
      <c r="R362" t="s">
        <v>2050</v>
      </c>
      <c r="S362" t="s">
        <v>50</v>
      </c>
      <c r="T362">
        <v>3</v>
      </c>
      <c r="U362">
        <v>729.14</v>
      </c>
      <c r="V362">
        <v>0.25</v>
      </c>
      <c r="W362">
        <v>0.25</v>
      </c>
      <c r="X362">
        <v>1640.57</v>
      </c>
      <c r="Y362">
        <f t="shared" si="40"/>
        <v>1640.57</v>
      </c>
      <c r="Z362">
        <v>1136.98</v>
      </c>
      <c r="AA362">
        <v>503.59</v>
      </c>
      <c r="AB362">
        <f t="shared" si="45"/>
        <v>503.58999999999992</v>
      </c>
      <c r="AC362" s="8">
        <f t="shared" si="46"/>
        <v>0.30696038571959744</v>
      </c>
      <c r="AD362" t="s">
        <v>32</v>
      </c>
      <c r="AE362" t="s">
        <v>33</v>
      </c>
      <c r="AF362" t="str">
        <f t="shared" si="47"/>
        <v>Perfect Match</v>
      </c>
    </row>
    <row r="363" spans="1:32">
      <c r="A363" t="str">
        <f>IF(OR(I363&lt;0, ISTEXT(W363), ISTEXT(Y363)), "Invalid", IF(OR(B363="Conflicting Duplicate", M363="Unknown", S363="Unknown"), "Warning", "Valid"))</f>
        <v>Valid</v>
      </c>
      <c r="B363" t="str">
        <f t="shared" si="41"/>
        <v>-</v>
      </c>
      <c r="C363" t="s">
        <v>2054</v>
      </c>
      <c r="D363" s="2">
        <v>45403</v>
      </c>
      <c r="E363" t="str">
        <f t="shared" si="42"/>
        <v>April</v>
      </c>
      <c r="F363">
        <f t="shared" si="43"/>
        <v>2024</v>
      </c>
      <c r="G363" s="2">
        <v>45406</v>
      </c>
      <c r="H363" t="s">
        <v>2055</v>
      </c>
      <c r="I363">
        <f t="shared" si="44"/>
        <v>3</v>
      </c>
      <c r="J363" t="s">
        <v>2795</v>
      </c>
      <c r="K363" t="s">
        <v>79</v>
      </c>
      <c r="L363" t="s">
        <v>37</v>
      </c>
      <c r="M363" t="s">
        <v>54</v>
      </c>
      <c r="N363" t="s">
        <v>84</v>
      </c>
      <c r="O363" t="s">
        <v>85</v>
      </c>
      <c r="P363" t="s">
        <v>28</v>
      </c>
      <c r="Q363" t="s">
        <v>48</v>
      </c>
      <c r="R363" t="s">
        <v>2056</v>
      </c>
      <c r="S363" t="s">
        <v>44</v>
      </c>
      <c r="T363">
        <v>9</v>
      </c>
      <c r="U363">
        <v>703.59</v>
      </c>
      <c r="V363">
        <v>0.2</v>
      </c>
      <c r="W363">
        <v>0.2</v>
      </c>
      <c r="X363">
        <v>5065.8500000000004</v>
      </c>
      <c r="Y363">
        <f t="shared" si="40"/>
        <v>5065.8500000000004</v>
      </c>
      <c r="Z363">
        <v>3517.23</v>
      </c>
      <c r="AA363">
        <v>1548.62</v>
      </c>
      <c r="AB363">
        <f t="shared" si="45"/>
        <v>1548.6200000000003</v>
      </c>
      <c r="AC363" s="8">
        <f t="shared" si="46"/>
        <v>0.30569795789452908</v>
      </c>
      <c r="AD363" t="s">
        <v>155</v>
      </c>
      <c r="AE363" t="s">
        <v>103</v>
      </c>
      <c r="AF363" t="str">
        <f t="shared" si="47"/>
        <v>Perfect Match</v>
      </c>
    </row>
    <row r="364" spans="1:32">
      <c r="A364" t="str">
        <f>IF(OR(I364&lt;0, ISTEXT(W364), ISTEXT(Y364)), "Invalid", IF(OR(B364="Conflicting Duplicate", M364="Unknown", S364="Unknown"), "Warning", "Valid"))</f>
        <v>Valid</v>
      </c>
      <c r="B364" t="str">
        <f t="shared" si="41"/>
        <v>-</v>
      </c>
      <c r="C364" t="s">
        <v>2060</v>
      </c>
      <c r="D364" s="2">
        <v>45395</v>
      </c>
      <c r="E364" t="str">
        <f t="shared" si="42"/>
        <v>April</v>
      </c>
      <c r="F364">
        <f t="shared" si="43"/>
        <v>2024</v>
      </c>
      <c r="G364" s="2">
        <v>45403</v>
      </c>
      <c r="H364" t="s">
        <v>378</v>
      </c>
      <c r="I364">
        <f t="shared" si="44"/>
        <v>8</v>
      </c>
      <c r="J364" t="s">
        <v>2795</v>
      </c>
      <c r="K364" t="s">
        <v>128</v>
      </c>
      <c r="L364" t="s">
        <v>95</v>
      </c>
      <c r="M364" t="s">
        <v>38</v>
      </c>
      <c r="N364" t="s">
        <v>145</v>
      </c>
      <c r="O364" t="s">
        <v>146</v>
      </c>
      <c r="P364" t="s">
        <v>74</v>
      </c>
      <c r="Q364" t="s">
        <v>75</v>
      </c>
      <c r="R364" t="s">
        <v>2061</v>
      </c>
      <c r="S364" t="s">
        <v>44</v>
      </c>
      <c r="T364">
        <v>7</v>
      </c>
      <c r="U364">
        <v>2648.76</v>
      </c>
      <c r="V364">
        <v>0.15</v>
      </c>
      <c r="W364">
        <v>0.15</v>
      </c>
      <c r="X364">
        <v>15760.12</v>
      </c>
      <c r="Y364">
        <f t="shared" si="40"/>
        <v>15760.12</v>
      </c>
      <c r="Z364">
        <v>9931.5300000000007</v>
      </c>
      <c r="AA364">
        <v>5828.59</v>
      </c>
      <c r="AB364">
        <f t="shared" si="45"/>
        <v>5828.59</v>
      </c>
      <c r="AC364" s="8">
        <f t="shared" si="46"/>
        <v>0.3698315748864856</v>
      </c>
      <c r="AD364" t="s">
        <v>155</v>
      </c>
      <c r="AE364" t="s">
        <v>103</v>
      </c>
      <c r="AF364" t="str">
        <f t="shared" si="47"/>
        <v>Perfect Match</v>
      </c>
    </row>
    <row r="365" spans="1:32">
      <c r="A365" s="6" t="str">
        <f>IF(OR(I365&lt;0, ISTEXT(W365), ISTEXT(Y365)), "Invalid", IF(OR(B365="Conflicting Duplicate", M365="Unknown", S365="Unknown"), "Warning", "Valid"))</f>
        <v>Invalid</v>
      </c>
      <c r="B365" t="str">
        <f t="shared" si="41"/>
        <v>-</v>
      </c>
      <c r="C365" t="s">
        <v>2075</v>
      </c>
      <c r="D365" s="2">
        <v>45478</v>
      </c>
      <c r="E365" t="str">
        <f t="shared" si="42"/>
        <v>July</v>
      </c>
      <c r="F365">
        <f t="shared" si="43"/>
        <v>2024</v>
      </c>
      <c r="G365" s="2">
        <v>45426</v>
      </c>
      <c r="H365" t="s">
        <v>2076</v>
      </c>
      <c r="I365" s="7">
        <f t="shared" si="44"/>
        <v>-52</v>
      </c>
      <c r="J365" s="7" t="s">
        <v>2802</v>
      </c>
      <c r="K365" t="s">
        <v>79</v>
      </c>
      <c r="L365" t="s">
        <v>37</v>
      </c>
      <c r="M365" t="s">
        <v>25</v>
      </c>
      <c r="N365" t="s">
        <v>236</v>
      </c>
      <c r="O365" t="s">
        <v>237</v>
      </c>
      <c r="P365" t="s">
        <v>74</v>
      </c>
      <c r="Q365" t="s">
        <v>274</v>
      </c>
      <c r="R365" t="s">
        <v>2077</v>
      </c>
      <c r="S365" t="s">
        <v>44</v>
      </c>
      <c r="T365">
        <v>4</v>
      </c>
      <c r="U365">
        <v>2751.1</v>
      </c>
      <c r="V365">
        <v>-0.05</v>
      </c>
      <c r="W365" s="4" t="s">
        <v>2794</v>
      </c>
      <c r="X365">
        <v>9903.9599999999991</v>
      </c>
      <c r="Y365" s="4" t="str">
        <f t="shared" si="40"/>
        <v>Cannot Calculate</v>
      </c>
      <c r="Z365">
        <v>7696.28</v>
      </c>
      <c r="AA365">
        <v>2207.6799999999998</v>
      </c>
      <c r="AB365" s="4" t="str">
        <f t="shared" si="45"/>
        <v>Cannot Calculate</v>
      </c>
      <c r="AC365" s="9">
        <f t="shared" si="46"/>
        <v>0</v>
      </c>
      <c r="AD365" t="s">
        <v>32</v>
      </c>
      <c r="AE365" t="s">
        <v>33</v>
      </c>
      <c r="AF365" t="str">
        <f t="shared" si="47"/>
        <v>Calculation Blocked</v>
      </c>
    </row>
    <row r="366" spans="1:32">
      <c r="A366" t="str">
        <f>IF(OR(I366&lt;0, ISTEXT(W366), ISTEXT(Y366)), "Invalid", IF(OR(B366="Conflicting Duplicate", M366="Unknown", S366="Unknown"), "Warning", "Valid"))</f>
        <v>Valid</v>
      </c>
      <c r="B366" t="str">
        <f t="shared" si="41"/>
        <v>-</v>
      </c>
      <c r="C366" t="s">
        <v>2090</v>
      </c>
      <c r="D366" s="2">
        <v>45429</v>
      </c>
      <c r="E366" t="str">
        <f t="shared" si="42"/>
        <v>May</v>
      </c>
      <c r="F366">
        <f t="shared" si="43"/>
        <v>2024</v>
      </c>
      <c r="G366" s="2">
        <v>45434</v>
      </c>
      <c r="H366" t="s">
        <v>2091</v>
      </c>
      <c r="I366">
        <f t="shared" si="44"/>
        <v>5</v>
      </c>
      <c r="J366" t="s">
        <v>2795</v>
      </c>
      <c r="K366" t="s">
        <v>132</v>
      </c>
      <c r="L366" t="s">
        <v>24</v>
      </c>
      <c r="M366" t="s">
        <v>54</v>
      </c>
      <c r="N366" t="s">
        <v>84</v>
      </c>
      <c r="O366" t="s">
        <v>85</v>
      </c>
      <c r="P366" t="s">
        <v>74</v>
      </c>
      <c r="Q366" t="s">
        <v>274</v>
      </c>
      <c r="R366" t="s">
        <v>2092</v>
      </c>
      <c r="S366" t="s">
        <v>31</v>
      </c>
      <c r="T366">
        <v>7</v>
      </c>
      <c r="U366">
        <v>232.5</v>
      </c>
      <c r="V366">
        <v>0</v>
      </c>
      <c r="W366">
        <v>0</v>
      </c>
      <c r="X366">
        <v>1627.5</v>
      </c>
      <c r="Y366">
        <f t="shared" si="40"/>
        <v>1627.5</v>
      </c>
      <c r="Z366">
        <v>939.9</v>
      </c>
      <c r="AA366">
        <v>687.6</v>
      </c>
      <c r="AB366">
        <f t="shared" si="45"/>
        <v>687.6</v>
      </c>
      <c r="AC366" s="8">
        <f t="shared" si="46"/>
        <v>0.4224884792626728</v>
      </c>
      <c r="AD366" t="s">
        <v>32</v>
      </c>
      <c r="AE366" t="s">
        <v>33</v>
      </c>
      <c r="AF366" t="str">
        <f t="shared" si="47"/>
        <v>Perfect Match</v>
      </c>
    </row>
    <row r="367" spans="1:32">
      <c r="A367" t="str">
        <f>IF(OR(I367&lt;0, ISTEXT(W367), ISTEXT(Y367)), "Invalid", IF(OR(B367="Conflicting Duplicate", M367="Unknown", S367="Unknown"), "Warning", "Valid"))</f>
        <v>Valid</v>
      </c>
      <c r="B367" t="str">
        <f t="shared" si="41"/>
        <v>-</v>
      </c>
      <c r="C367" t="s">
        <v>2093</v>
      </c>
      <c r="D367" s="2">
        <v>45305</v>
      </c>
      <c r="E367" t="str">
        <f t="shared" si="42"/>
        <v>January</v>
      </c>
      <c r="F367">
        <f t="shared" si="43"/>
        <v>2024</v>
      </c>
      <c r="G367" s="2">
        <v>45309</v>
      </c>
      <c r="H367" t="s">
        <v>2094</v>
      </c>
      <c r="I367">
        <f t="shared" si="44"/>
        <v>4</v>
      </c>
      <c r="J367" t="s">
        <v>2795</v>
      </c>
      <c r="K367" t="s">
        <v>36</v>
      </c>
      <c r="L367" t="s">
        <v>95</v>
      </c>
      <c r="M367" t="s">
        <v>63</v>
      </c>
      <c r="N367" t="s">
        <v>26</v>
      </c>
      <c r="O367" t="s">
        <v>109</v>
      </c>
      <c r="P367" t="s">
        <v>74</v>
      </c>
      <c r="Q367" t="s">
        <v>274</v>
      </c>
      <c r="R367" t="s">
        <v>2095</v>
      </c>
      <c r="S367" t="s">
        <v>44</v>
      </c>
      <c r="T367">
        <v>6</v>
      </c>
      <c r="U367">
        <v>1784.8</v>
      </c>
      <c r="V367">
        <v>0.1</v>
      </c>
      <c r="W367">
        <v>0.1</v>
      </c>
      <c r="X367">
        <v>9637.92</v>
      </c>
      <c r="Y367">
        <f t="shared" si="40"/>
        <v>9637.92</v>
      </c>
      <c r="Z367">
        <v>7329.29</v>
      </c>
      <c r="AA367">
        <v>2308.63</v>
      </c>
      <c r="AB367">
        <f t="shared" si="45"/>
        <v>2308.63</v>
      </c>
      <c r="AC367" s="8">
        <f t="shared" si="46"/>
        <v>0.2395361239769577</v>
      </c>
      <c r="AD367" t="s">
        <v>32</v>
      </c>
      <c r="AE367" t="s">
        <v>33</v>
      </c>
      <c r="AF367" t="str">
        <f t="shared" si="47"/>
        <v>Perfect Match</v>
      </c>
    </row>
    <row r="368" spans="1:32">
      <c r="A368" s="6" t="str">
        <f>IF(OR(I368&lt;0, ISTEXT(W368), ISTEXT(Y368)), "Invalid", IF(OR(B368="Conflicting Duplicate", M368="Unknown", S368="Unknown"), "Warning", "Valid"))</f>
        <v>Invalid</v>
      </c>
      <c r="B368" t="str">
        <f t="shared" si="41"/>
        <v>-</v>
      </c>
      <c r="C368" t="s">
        <v>2096</v>
      </c>
      <c r="D368" s="2">
        <v>45414</v>
      </c>
      <c r="E368" t="str">
        <f t="shared" si="42"/>
        <v>May</v>
      </c>
      <c r="F368">
        <f t="shared" si="43"/>
        <v>2024</v>
      </c>
      <c r="G368" s="2">
        <v>45420</v>
      </c>
      <c r="H368" t="s">
        <v>2097</v>
      </c>
      <c r="I368">
        <f t="shared" si="44"/>
        <v>6</v>
      </c>
      <c r="J368" t="s">
        <v>2795</v>
      </c>
      <c r="K368" t="s">
        <v>118</v>
      </c>
      <c r="L368" t="s">
        <v>95</v>
      </c>
      <c r="M368" t="s">
        <v>38</v>
      </c>
      <c r="N368" t="s">
        <v>228</v>
      </c>
      <c r="O368" t="s">
        <v>229</v>
      </c>
      <c r="P368" t="s">
        <v>74</v>
      </c>
      <c r="Q368" t="s">
        <v>80</v>
      </c>
      <c r="R368" t="s">
        <v>2098</v>
      </c>
      <c r="S368" t="s">
        <v>31</v>
      </c>
      <c r="T368">
        <v>2</v>
      </c>
      <c r="U368">
        <v>3185.01</v>
      </c>
      <c r="V368">
        <v>-0.24</v>
      </c>
      <c r="W368" s="4" t="s">
        <v>2794</v>
      </c>
      <c r="X368">
        <v>4777.5200000000004</v>
      </c>
      <c r="Y368" s="4" t="str">
        <f t="shared" si="40"/>
        <v>Cannot Calculate</v>
      </c>
      <c r="Z368">
        <v>3152.98</v>
      </c>
      <c r="AA368">
        <v>1624.54</v>
      </c>
      <c r="AB368" s="4" t="str">
        <f t="shared" si="45"/>
        <v>Cannot Calculate</v>
      </c>
      <c r="AC368" s="9">
        <f t="shared" si="46"/>
        <v>0</v>
      </c>
      <c r="AD368" t="s">
        <v>32</v>
      </c>
      <c r="AE368" t="s">
        <v>33</v>
      </c>
      <c r="AF368" t="str">
        <f t="shared" si="47"/>
        <v>Calculation Blocked</v>
      </c>
    </row>
    <row r="369" spans="1:32">
      <c r="A369" t="str">
        <f>IF(OR(I369&lt;0, ISTEXT(W369), ISTEXT(Y369)), "Invalid", IF(OR(B369="Conflicting Duplicate", M369="Unknown", S369="Unknown"), "Warning", "Valid"))</f>
        <v>Valid</v>
      </c>
      <c r="B369" t="str">
        <f t="shared" si="41"/>
        <v>-</v>
      </c>
      <c r="C369" t="s">
        <v>2099</v>
      </c>
      <c r="D369" s="2">
        <v>45633</v>
      </c>
      <c r="E369" t="str">
        <f t="shared" si="42"/>
        <v>December</v>
      </c>
      <c r="F369">
        <f t="shared" si="43"/>
        <v>2024</v>
      </c>
      <c r="G369" s="2">
        <v>45636</v>
      </c>
      <c r="H369" t="s">
        <v>2100</v>
      </c>
      <c r="I369">
        <f t="shared" si="44"/>
        <v>3</v>
      </c>
      <c r="J369" t="s">
        <v>2795</v>
      </c>
      <c r="K369" t="s">
        <v>36</v>
      </c>
      <c r="L369" t="s">
        <v>95</v>
      </c>
      <c r="M369" t="s">
        <v>54</v>
      </c>
      <c r="N369" t="s">
        <v>55</v>
      </c>
      <c r="O369" t="s">
        <v>56</v>
      </c>
      <c r="P369" t="s">
        <v>74</v>
      </c>
      <c r="Q369" t="s">
        <v>75</v>
      </c>
      <c r="R369" t="s">
        <v>2101</v>
      </c>
      <c r="S369" t="s">
        <v>59</v>
      </c>
      <c r="T369">
        <v>1</v>
      </c>
      <c r="U369">
        <v>1908.83</v>
      </c>
      <c r="V369">
        <v>0.2</v>
      </c>
      <c r="W369">
        <v>0.2</v>
      </c>
      <c r="X369">
        <v>1527.06</v>
      </c>
      <c r="Y369">
        <f t="shared" si="40"/>
        <v>1527.06</v>
      </c>
      <c r="Z369">
        <v>1055.8900000000001</v>
      </c>
      <c r="AA369">
        <v>471.17</v>
      </c>
      <c r="AB369">
        <f t="shared" si="45"/>
        <v>471.16999999999985</v>
      </c>
      <c r="AC369" s="8">
        <f t="shared" si="46"/>
        <v>0.30854714287585283</v>
      </c>
      <c r="AD369" t="s">
        <v>32</v>
      </c>
      <c r="AE369" t="s">
        <v>33</v>
      </c>
      <c r="AF369" t="str">
        <f t="shared" si="47"/>
        <v>Perfect Match</v>
      </c>
    </row>
    <row r="370" spans="1:32">
      <c r="A370" t="str">
        <f>IF(OR(I370&lt;0, ISTEXT(W370), ISTEXT(Y370)), "Invalid", IF(OR(B370="Conflicting Duplicate", M370="Unknown", S370="Unknown"), "Warning", "Valid"))</f>
        <v>Valid</v>
      </c>
      <c r="B370" t="str">
        <f t="shared" si="41"/>
        <v>-</v>
      </c>
      <c r="C370" t="s">
        <v>2105</v>
      </c>
      <c r="D370" s="2">
        <v>45464</v>
      </c>
      <c r="E370" t="str">
        <f t="shared" si="42"/>
        <v>June</v>
      </c>
      <c r="F370">
        <f t="shared" si="43"/>
        <v>2024</v>
      </c>
      <c r="G370" s="2">
        <v>45469</v>
      </c>
      <c r="H370" t="s">
        <v>2106</v>
      </c>
      <c r="I370">
        <f t="shared" si="44"/>
        <v>5</v>
      </c>
      <c r="J370" t="s">
        <v>2795</v>
      </c>
      <c r="K370" t="s">
        <v>141</v>
      </c>
      <c r="L370" t="s">
        <v>37</v>
      </c>
      <c r="M370" t="s">
        <v>25</v>
      </c>
      <c r="N370" t="s">
        <v>122</v>
      </c>
      <c r="O370" t="s">
        <v>123</v>
      </c>
      <c r="P370" t="s">
        <v>74</v>
      </c>
      <c r="Q370" t="s">
        <v>80</v>
      </c>
      <c r="R370" t="s">
        <v>2107</v>
      </c>
      <c r="S370" t="s">
        <v>44</v>
      </c>
      <c r="T370">
        <v>1</v>
      </c>
      <c r="U370">
        <v>279.83</v>
      </c>
      <c r="V370">
        <v>0.05</v>
      </c>
      <c r="W370">
        <v>0.05</v>
      </c>
      <c r="X370">
        <v>265.83999999999997</v>
      </c>
      <c r="Y370">
        <f t="shared" si="40"/>
        <v>265.83999999999997</v>
      </c>
      <c r="Z370">
        <v>223.49</v>
      </c>
      <c r="AA370">
        <v>42.35</v>
      </c>
      <c r="AB370">
        <f t="shared" si="45"/>
        <v>42.349999999999966</v>
      </c>
      <c r="AC370" s="8">
        <f t="shared" si="46"/>
        <v>0.15930634968402035</v>
      </c>
      <c r="AD370" t="s">
        <v>32</v>
      </c>
      <c r="AE370" t="s">
        <v>33</v>
      </c>
      <c r="AF370" t="str">
        <f t="shared" si="47"/>
        <v>Perfect Match</v>
      </c>
    </row>
    <row r="371" spans="1:32">
      <c r="A371" t="str">
        <f>IF(OR(I371&lt;0, ISTEXT(W371), ISTEXT(Y371)), "Invalid", IF(OR(B371="Conflicting Duplicate", M371="Unknown", S371="Unknown"), "Warning", "Valid"))</f>
        <v>Valid</v>
      </c>
      <c r="B371" t="str">
        <f t="shared" si="41"/>
        <v>-</v>
      </c>
      <c r="C371" t="s">
        <v>2111</v>
      </c>
      <c r="D371" s="2">
        <v>45617</v>
      </c>
      <c r="E371" t="str">
        <f t="shared" si="42"/>
        <v>November</v>
      </c>
      <c r="F371">
        <f t="shared" si="43"/>
        <v>2024</v>
      </c>
      <c r="G371" s="2">
        <v>45619</v>
      </c>
      <c r="H371" t="s">
        <v>2112</v>
      </c>
      <c r="I371">
        <f t="shared" si="44"/>
        <v>2</v>
      </c>
      <c r="J371" t="s">
        <v>2795</v>
      </c>
      <c r="K371" t="s">
        <v>36</v>
      </c>
      <c r="L371" t="s">
        <v>90</v>
      </c>
      <c r="M371" t="s">
        <v>63</v>
      </c>
      <c r="N371" t="s">
        <v>180</v>
      </c>
      <c r="O371" t="s">
        <v>181</v>
      </c>
      <c r="P371" t="s">
        <v>28</v>
      </c>
      <c r="Q371" t="s">
        <v>29</v>
      </c>
      <c r="R371" t="s">
        <v>2113</v>
      </c>
      <c r="S371" t="s">
        <v>31</v>
      </c>
      <c r="T371">
        <v>5</v>
      </c>
      <c r="U371">
        <v>600.46</v>
      </c>
      <c r="V371">
        <v>0.2</v>
      </c>
      <c r="W371">
        <v>0.2</v>
      </c>
      <c r="X371">
        <v>2401.84</v>
      </c>
      <c r="Y371">
        <f t="shared" si="40"/>
        <v>2401.84</v>
      </c>
      <c r="Z371">
        <v>1873.11</v>
      </c>
      <c r="AA371">
        <v>528.73</v>
      </c>
      <c r="AB371">
        <f t="shared" si="45"/>
        <v>528.73000000000025</v>
      </c>
      <c r="AC371" s="8">
        <f t="shared" si="46"/>
        <v>0.22013539619624964</v>
      </c>
      <c r="AD371" t="s">
        <v>32</v>
      </c>
      <c r="AE371" t="s">
        <v>33</v>
      </c>
      <c r="AF371" t="str">
        <f t="shared" si="47"/>
        <v>Perfect Match</v>
      </c>
    </row>
    <row r="372" spans="1:32">
      <c r="A372" t="str">
        <f>IF(OR(I372&lt;0, ISTEXT(W372), ISTEXT(Y372)), "Invalid", IF(OR(B372="Conflicting Duplicate", M372="Unknown", S372="Unknown"), "Warning", "Valid"))</f>
        <v>Valid</v>
      </c>
      <c r="B372" t="str">
        <f t="shared" si="41"/>
        <v>-</v>
      </c>
      <c r="C372" t="s">
        <v>2114</v>
      </c>
      <c r="D372" s="2">
        <v>45375</v>
      </c>
      <c r="E372" t="str">
        <f t="shared" si="42"/>
        <v>March</v>
      </c>
      <c r="F372">
        <f t="shared" si="43"/>
        <v>2024</v>
      </c>
      <c r="G372" s="2">
        <v>45383</v>
      </c>
      <c r="H372" t="s">
        <v>2115</v>
      </c>
      <c r="I372">
        <f t="shared" si="44"/>
        <v>8</v>
      </c>
      <c r="J372" t="s">
        <v>2795</v>
      </c>
      <c r="K372" t="s">
        <v>62</v>
      </c>
      <c r="L372" t="s">
        <v>95</v>
      </c>
      <c r="M372" t="s">
        <v>63</v>
      </c>
      <c r="N372" t="s">
        <v>64</v>
      </c>
      <c r="O372" t="s">
        <v>65</v>
      </c>
      <c r="P372" t="s">
        <v>41</v>
      </c>
      <c r="Q372" t="s">
        <v>42</v>
      </c>
      <c r="R372" t="s">
        <v>2116</v>
      </c>
      <c r="S372" t="s">
        <v>31</v>
      </c>
      <c r="T372">
        <v>4</v>
      </c>
      <c r="U372">
        <v>1700.72</v>
      </c>
      <c r="V372">
        <v>0.25</v>
      </c>
      <c r="W372">
        <v>0.25</v>
      </c>
      <c r="X372">
        <v>5102.16</v>
      </c>
      <c r="Y372">
        <f t="shared" si="40"/>
        <v>5102.16</v>
      </c>
      <c r="Z372">
        <v>3226.45</v>
      </c>
      <c r="AA372">
        <v>1875.71</v>
      </c>
      <c r="AB372">
        <f t="shared" si="45"/>
        <v>1875.71</v>
      </c>
      <c r="AC372" s="8">
        <f t="shared" si="46"/>
        <v>0.36763057214983458</v>
      </c>
      <c r="AD372" t="s">
        <v>32</v>
      </c>
      <c r="AE372" t="s">
        <v>33</v>
      </c>
      <c r="AF372" t="str">
        <f t="shared" si="47"/>
        <v>Perfect Match</v>
      </c>
    </row>
    <row r="373" spans="1:32">
      <c r="A373" t="str">
        <f>IF(OR(I373&lt;0, ISTEXT(W373), ISTEXT(Y373)), "Invalid", IF(OR(B373="Conflicting Duplicate", M373="Unknown", S373="Unknown"), "Warning", "Valid"))</f>
        <v>Valid</v>
      </c>
      <c r="B373" t="str">
        <f t="shared" si="41"/>
        <v>-</v>
      </c>
      <c r="C373" t="s">
        <v>2119</v>
      </c>
      <c r="D373" s="2">
        <v>45373</v>
      </c>
      <c r="E373" t="str">
        <f t="shared" si="42"/>
        <v>March</v>
      </c>
      <c r="F373">
        <f t="shared" si="43"/>
        <v>2024</v>
      </c>
      <c r="G373" s="2">
        <v>45378</v>
      </c>
      <c r="H373" t="s">
        <v>2120</v>
      </c>
      <c r="I373">
        <f t="shared" si="44"/>
        <v>5</v>
      </c>
      <c r="J373" t="s">
        <v>2795</v>
      </c>
      <c r="K373" t="s">
        <v>89</v>
      </c>
      <c r="L373" t="s">
        <v>95</v>
      </c>
      <c r="M373" t="s">
        <v>63</v>
      </c>
      <c r="N373" t="s">
        <v>190</v>
      </c>
      <c r="O373" t="s">
        <v>191</v>
      </c>
      <c r="P373" t="s">
        <v>74</v>
      </c>
      <c r="Q373" t="s">
        <v>2121</v>
      </c>
      <c r="R373" t="s">
        <v>2122</v>
      </c>
      <c r="S373" t="s">
        <v>31</v>
      </c>
      <c r="T373">
        <v>9</v>
      </c>
      <c r="U373">
        <v>3649.51</v>
      </c>
      <c r="V373">
        <v>0.05</v>
      </c>
      <c r="W373">
        <v>0.05</v>
      </c>
      <c r="X373">
        <v>31203.31</v>
      </c>
      <c r="Y373">
        <f t="shared" si="40"/>
        <v>31203.31</v>
      </c>
      <c r="Z373">
        <v>17738.13</v>
      </c>
      <c r="AA373">
        <v>13465.18</v>
      </c>
      <c r="AB373">
        <f t="shared" si="45"/>
        <v>13465.18</v>
      </c>
      <c r="AC373" s="8">
        <f t="shared" si="46"/>
        <v>0.43153050109107016</v>
      </c>
      <c r="AD373" t="s">
        <v>32</v>
      </c>
      <c r="AE373" t="s">
        <v>33</v>
      </c>
      <c r="AF373" t="str">
        <f t="shared" si="47"/>
        <v>Perfect Match</v>
      </c>
    </row>
    <row r="374" spans="1:32">
      <c r="A374" t="str">
        <f>IF(OR(I374&lt;0, ISTEXT(W374), ISTEXT(Y374)), "Invalid", IF(OR(B374="Conflicting Duplicate", M374="Unknown", S374="Unknown"), "Warning", "Valid"))</f>
        <v>Valid</v>
      </c>
      <c r="B374" t="str">
        <f t="shared" si="41"/>
        <v>-</v>
      </c>
      <c r="C374" t="s">
        <v>2123</v>
      </c>
      <c r="D374" s="2">
        <v>45539</v>
      </c>
      <c r="E374" t="str">
        <f t="shared" si="42"/>
        <v>September</v>
      </c>
      <c r="F374">
        <f t="shared" si="43"/>
        <v>2024</v>
      </c>
      <c r="G374" s="2">
        <v>45540</v>
      </c>
      <c r="H374" t="s">
        <v>2124</v>
      </c>
      <c r="I374">
        <f t="shared" si="44"/>
        <v>1</v>
      </c>
      <c r="J374" t="s">
        <v>2795</v>
      </c>
      <c r="K374" t="s">
        <v>89</v>
      </c>
      <c r="L374" t="s">
        <v>90</v>
      </c>
      <c r="M374" t="s">
        <v>63</v>
      </c>
      <c r="N374" t="s">
        <v>72</v>
      </c>
      <c r="O374" t="s">
        <v>73</v>
      </c>
      <c r="P374" t="s">
        <v>41</v>
      </c>
      <c r="Q374" t="s">
        <v>66</v>
      </c>
      <c r="R374" t="s">
        <v>2125</v>
      </c>
      <c r="S374" t="s">
        <v>59</v>
      </c>
      <c r="T374">
        <v>5</v>
      </c>
      <c r="U374">
        <v>2528.5300000000002</v>
      </c>
      <c r="V374">
        <v>0.05</v>
      </c>
      <c r="W374">
        <v>0.05</v>
      </c>
      <c r="X374">
        <v>12010.52</v>
      </c>
      <c r="Y374">
        <f t="shared" si="40"/>
        <v>12010.52</v>
      </c>
      <c r="Z374">
        <v>7864.61</v>
      </c>
      <c r="AA374">
        <v>4145.91</v>
      </c>
      <c r="AB374">
        <f t="shared" si="45"/>
        <v>4145.9100000000008</v>
      </c>
      <c r="AC374" s="8">
        <f t="shared" si="46"/>
        <v>0.34518988353543401</v>
      </c>
      <c r="AD374" t="s">
        <v>32</v>
      </c>
      <c r="AE374" t="s">
        <v>103</v>
      </c>
      <c r="AF374" t="str">
        <f t="shared" si="47"/>
        <v>Perfect Match</v>
      </c>
    </row>
    <row r="375" spans="1:32">
      <c r="A375" t="str">
        <f>IF(OR(I375&lt;0, ISTEXT(W375), ISTEXT(Y375)), "Invalid", IF(OR(B375="Conflicting Duplicate", M375="Unknown", S375="Unknown"), "Warning", "Valid"))</f>
        <v>Valid</v>
      </c>
      <c r="B375" t="str">
        <f t="shared" si="41"/>
        <v>-</v>
      </c>
      <c r="C375" t="s">
        <v>2129</v>
      </c>
      <c r="D375" s="2">
        <v>45430</v>
      </c>
      <c r="E375" t="str">
        <f t="shared" si="42"/>
        <v>May</v>
      </c>
      <c r="F375">
        <f t="shared" si="43"/>
        <v>2024</v>
      </c>
      <c r="G375" s="2">
        <v>45433</v>
      </c>
      <c r="H375" t="s">
        <v>2130</v>
      </c>
      <c r="I375">
        <f t="shared" si="44"/>
        <v>3</v>
      </c>
      <c r="J375" t="s">
        <v>2795</v>
      </c>
      <c r="K375" t="s">
        <v>71</v>
      </c>
      <c r="L375" t="s">
        <v>90</v>
      </c>
      <c r="M375" t="s">
        <v>38</v>
      </c>
      <c r="N375" t="s">
        <v>228</v>
      </c>
      <c r="O375" t="s">
        <v>229</v>
      </c>
      <c r="P375" t="s">
        <v>74</v>
      </c>
      <c r="Q375" t="s">
        <v>75</v>
      </c>
      <c r="R375" t="s">
        <v>2131</v>
      </c>
      <c r="S375" t="s">
        <v>31</v>
      </c>
      <c r="T375">
        <v>1</v>
      </c>
      <c r="U375">
        <v>1033.71</v>
      </c>
      <c r="V375">
        <v>0</v>
      </c>
      <c r="W375">
        <v>0</v>
      </c>
      <c r="X375">
        <v>1033.71</v>
      </c>
      <c r="Y375">
        <f t="shared" si="40"/>
        <v>1033.71</v>
      </c>
      <c r="Z375">
        <v>630.82000000000005</v>
      </c>
      <c r="AA375">
        <v>402.89</v>
      </c>
      <c r="AB375">
        <f t="shared" si="45"/>
        <v>402.89</v>
      </c>
      <c r="AC375" s="8">
        <f t="shared" si="46"/>
        <v>0.38975147768716562</v>
      </c>
      <c r="AD375" t="s">
        <v>111</v>
      </c>
      <c r="AE375" t="s">
        <v>103</v>
      </c>
      <c r="AF375" t="str">
        <f t="shared" si="47"/>
        <v>Perfect Match</v>
      </c>
    </row>
    <row r="376" spans="1:32">
      <c r="A376" t="str">
        <f>IF(OR(I376&lt;0, ISTEXT(W376), ISTEXT(Y376)), "Invalid", IF(OR(B376="Conflicting Duplicate", M376="Unknown", S376="Unknown"), "Warning", "Valid"))</f>
        <v>Valid</v>
      </c>
      <c r="B376" t="str">
        <f t="shared" si="41"/>
        <v>-</v>
      </c>
      <c r="C376" t="s">
        <v>2137</v>
      </c>
      <c r="D376" s="2">
        <v>45465</v>
      </c>
      <c r="E376" t="str">
        <f t="shared" si="42"/>
        <v>June</v>
      </c>
      <c r="F376">
        <f t="shared" si="43"/>
        <v>2024</v>
      </c>
      <c r="G376" s="2">
        <v>45470</v>
      </c>
      <c r="H376" t="s">
        <v>22</v>
      </c>
      <c r="I376">
        <f t="shared" si="44"/>
        <v>5</v>
      </c>
      <c r="J376" t="s">
        <v>2795</v>
      </c>
      <c r="K376" t="s">
        <v>47</v>
      </c>
      <c r="L376" t="s">
        <v>95</v>
      </c>
      <c r="M376" t="s">
        <v>54</v>
      </c>
      <c r="N376" t="s">
        <v>175</v>
      </c>
      <c r="O376" t="s">
        <v>176</v>
      </c>
      <c r="P376" t="s">
        <v>41</v>
      </c>
      <c r="Q376" t="s">
        <v>66</v>
      </c>
      <c r="R376" t="s">
        <v>2138</v>
      </c>
      <c r="S376" t="s">
        <v>44</v>
      </c>
      <c r="T376">
        <v>7</v>
      </c>
      <c r="U376">
        <v>2623.48</v>
      </c>
      <c r="V376">
        <v>0</v>
      </c>
      <c r="W376">
        <v>0</v>
      </c>
      <c r="X376">
        <v>18364.36</v>
      </c>
      <c r="Y376">
        <f t="shared" si="40"/>
        <v>18364.36</v>
      </c>
      <c r="Z376">
        <v>15445.81</v>
      </c>
      <c r="AA376">
        <v>2918.55</v>
      </c>
      <c r="AB376">
        <f t="shared" si="45"/>
        <v>2918.5500000000011</v>
      </c>
      <c r="AC376" s="8">
        <f t="shared" si="46"/>
        <v>0.15892467801763857</v>
      </c>
      <c r="AD376" t="s">
        <v>32</v>
      </c>
      <c r="AE376" t="s">
        <v>33</v>
      </c>
      <c r="AF376" t="str">
        <f t="shared" si="47"/>
        <v>Perfect Match</v>
      </c>
    </row>
    <row r="377" spans="1:32">
      <c r="A377" t="str">
        <f>IF(OR(I377&lt;0, ISTEXT(W377), ISTEXT(Y377)), "Invalid", IF(OR(B377="Conflicting Duplicate", M377="Unknown", S377="Unknown"), "Warning", "Valid"))</f>
        <v>Valid</v>
      </c>
      <c r="B377" t="str">
        <f t="shared" si="41"/>
        <v>-</v>
      </c>
      <c r="C377" t="s">
        <v>2139</v>
      </c>
      <c r="D377" s="2">
        <v>45620</v>
      </c>
      <c r="E377" t="str">
        <f t="shared" si="42"/>
        <v>November</v>
      </c>
      <c r="F377">
        <f t="shared" si="43"/>
        <v>2024</v>
      </c>
      <c r="G377" s="2">
        <v>45627</v>
      </c>
      <c r="H377" t="s">
        <v>2140</v>
      </c>
      <c r="I377">
        <f t="shared" si="44"/>
        <v>7</v>
      </c>
      <c r="J377" t="s">
        <v>2795</v>
      </c>
      <c r="K377" t="s">
        <v>264</v>
      </c>
      <c r="L377" t="s">
        <v>90</v>
      </c>
      <c r="M377" t="s">
        <v>54</v>
      </c>
      <c r="N377" t="s">
        <v>175</v>
      </c>
      <c r="O377" t="s">
        <v>176</v>
      </c>
      <c r="P377" t="s">
        <v>41</v>
      </c>
      <c r="Q377" t="s">
        <v>42</v>
      </c>
      <c r="R377" t="s">
        <v>2141</v>
      </c>
      <c r="S377" t="s">
        <v>31</v>
      </c>
      <c r="T377">
        <v>9</v>
      </c>
      <c r="U377">
        <v>2763.61</v>
      </c>
      <c r="V377">
        <v>0.15</v>
      </c>
      <c r="W377">
        <v>0.15</v>
      </c>
      <c r="X377">
        <v>21141.62</v>
      </c>
      <c r="Y377">
        <f t="shared" si="40"/>
        <v>21141.62</v>
      </c>
      <c r="Z377">
        <v>11676.33</v>
      </c>
      <c r="AA377">
        <v>9465.2900000000009</v>
      </c>
      <c r="AB377">
        <f t="shared" si="45"/>
        <v>9465.2899999999991</v>
      </c>
      <c r="AC377" s="8">
        <f t="shared" si="46"/>
        <v>0.44770883215193535</v>
      </c>
      <c r="AD377" t="s">
        <v>32</v>
      </c>
      <c r="AE377" t="s">
        <v>33</v>
      </c>
      <c r="AF377" t="str">
        <f t="shared" si="47"/>
        <v>Perfect Match</v>
      </c>
    </row>
    <row r="378" spans="1:32">
      <c r="A378" t="str">
        <f>IF(OR(I378&lt;0, ISTEXT(W378), ISTEXT(Y378)), "Invalid", IF(OR(B378="Conflicting Duplicate", M378="Unknown", S378="Unknown"), "Warning", "Valid"))</f>
        <v>Valid</v>
      </c>
      <c r="B378" t="str">
        <f t="shared" si="41"/>
        <v>-</v>
      </c>
      <c r="C378" t="s">
        <v>2145</v>
      </c>
      <c r="D378" s="2">
        <v>45441</v>
      </c>
      <c r="E378" t="str">
        <f t="shared" si="42"/>
        <v>May</v>
      </c>
      <c r="F378">
        <f t="shared" si="43"/>
        <v>2024</v>
      </c>
      <c r="G378" s="2">
        <v>45448</v>
      </c>
      <c r="H378" t="s">
        <v>2146</v>
      </c>
      <c r="I378">
        <f t="shared" si="44"/>
        <v>7</v>
      </c>
      <c r="J378" t="s">
        <v>2795</v>
      </c>
      <c r="K378" t="s">
        <v>264</v>
      </c>
      <c r="L378" t="s">
        <v>90</v>
      </c>
      <c r="M378" t="s">
        <v>54</v>
      </c>
      <c r="N378" t="s">
        <v>247</v>
      </c>
      <c r="O378" t="s">
        <v>248</v>
      </c>
      <c r="P378" t="s">
        <v>74</v>
      </c>
      <c r="Q378" t="s">
        <v>75</v>
      </c>
      <c r="R378" t="s">
        <v>2147</v>
      </c>
      <c r="S378" t="s">
        <v>50</v>
      </c>
      <c r="T378">
        <v>4</v>
      </c>
      <c r="U378">
        <v>3700.24</v>
      </c>
      <c r="V378">
        <v>0</v>
      </c>
      <c r="W378">
        <v>0</v>
      </c>
      <c r="X378">
        <v>14800.96</v>
      </c>
      <c r="Y378">
        <f t="shared" si="40"/>
        <v>14800.96</v>
      </c>
      <c r="Z378">
        <v>12048.39</v>
      </c>
      <c r="AA378">
        <v>2752.57</v>
      </c>
      <c r="AB378">
        <f t="shared" si="45"/>
        <v>2752.5699999999997</v>
      </c>
      <c r="AC378" s="8">
        <f t="shared" si="46"/>
        <v>0.18597239638509933</v>
      </c>
      <c r="AD378" t="s">
        <v>32</v>
      </c>
      <c r="AE378" t="s">
        <v>33</v>
      </c>
      <c r="AF378" t="str">
        <f t="shared" si="47"/>
        <v>Perfect Match</v>
      </c>
    </row>
    <row r="379" spans="1:32">
      <c r="A379" t="str">
        <f>IF(OR(I379&lt;0, ISTEXT(W379), ISTEXT(Y379)), "Invalid", IF(OR(B379="Conflicting Duplicate", M379="Unknown", S379="Unknown"), "Warning", "Valid"))</f>
        <v>Valid</v>
      </c>
      <c r="B379" t="str">
        <f t="shared" si="41"/>
        <v>-</v>
      </c>
      <c r="C379" t="s">
        <v>2148</v>
      </c>
      <c r="D379" s="2">
        <v>45477</v>
      </c>
      <c r="E379" t="str">
        <f t="shared" si="42"/>
        <v>July</v>
      </c>
      <c r="F379">
        <f t="shared" si="43"/>
        <v>2024</v>
      </c>
      <c r="G379" s="2">
        <v>45483</v>
      </c>
      <c r="H379" t="s">
        <v>2149</v>
      </c>
      <c r="I379">
        <f t="shared" si="44"/>
        <v>6</v>
      </c>
      <c r="J379" t="s">
        <v>2795</v>
      </c>
      <c r="K379" t="s">
        <v>71</v>
      </c>
      <c r="L379" t="s">
        <v>90</v>
      </c>
      <c r="M379" t="s">
        <v>25</v>
      </c>
      <c r="N379" t="s">
        <v>350</v>
      </c>
      <c r="O379" t="s">
        <v>351</v>
      </c>
      <c r="P379" t="s">
        <v>41</v>
      </c>
      <c r="Q379" t="s">
        <v>42</v>
      </c>
      <c r="R379" t="s">
        <v>2150</v>
      </c>
      <c r="S379" t="s">
        <v>31</v>
      </c>
      <c r="T379">
        <v>5</v>
      </c>
      <c r="U379">
        <v>1200.27</v>
      </c>
      <c r="V379">
        <v>0</v>
      </c>
      <c r="W379">
        <v>0</v>
      </c>
      <c r="X379">
        <v>6001.35</v>
      </c>
      <c r="Y379">
        <f t="shared" si="40"/>
        <v>6001.35</v>
      </c>
      <c r="Z379">
        <v>4182.99</v>
      </c>
      <c r="AA379">
        <v>1818.36</v>
      </c>
      <c r="AB379">
        <f t="shared" si="45"/>
        <v>1818.3600000000006</v>
      </c>
      <c r="AC379" s="8">
        <f t="shared" si="46"/>
        <v>0.30299182683896131</v>
      </c>
      <c r="AD379" t="s">
        <v>32</v>
      </c>
      <c r="AE379" t="s">
        <v>68</v>
      </c>
      <c r="AF379" t="str">
        <f t="shared" si="47"/>
        <v>Perfect Match</v>
      </c>
    </row>
    <row r="380" spans="1:32">
      <c r="A380" t="str">
        <f>IF(OR(I380&lt;0, ISTEXT(W380), ISTEXT(Y380)), "Invalid", IF(OR(B380="Conflicting Duplicate", M380="Unknown", S380="Unknown"), "Warning", "Valid"))</f>
        <v>Valid</v>
      </c>
      <c r="B380" t="str">
        <f t="shared" si="41"/>
        <v>-</v>
      </c>
      <c r="C380" t="s">
        <v>2162</v>
      </c>
      <c r="D380" s="2">
        <v>45376</v>
      </c>
      <c r="E380" t="str">
        <f t="shared" si="42"/>
        <v>March</v>
      </c>
      <c r="F380">
        <f t="shared" si="43"/>
        <v>2024</v>
      </c>
      <c r="G380" s="2">
        <v>45384</v>
      </c>
      <c r="H380" t="s">
        <v>2163</v>
      </c>
      <c r="I380">
        <f t="shared" si="44"/>
        <v>8</v>
      </c>
      <c r="J380" t="s">
        <v>2795</v>
      </c>
      <c r="K380" t="s">
        <v>132</v>
      </c>
      <c r="L380" t="s">
        <v>95</v>
      </c>
      <c r="M380" t="s">
        <v>54</v>
      </c>
      <c r="N380" t="s">
        <v>247</v>
      </c>
      <c r="O380" t="s">
        <v>248</v>
      </c>
      <c r="P380" t="s">
        <v>74</v>
      </c>
      <c r="Q380" t="s">
        <v>80</v>
      </c>
      <c r="R380" t="s">
        <v>2164</v>
      </c>
      <c r="S380" t="s">
        <v>59</v>
      </c>
      <c r="T380">
        <v>2</v>
      </c>
      <c r="U380">
        <v>2349.13</v>
      </c>
      <c r="V380">
        <v>0</v>
      </c>
      <c r="W380">
        <v>0</v>
      </c>
      <c r="X380">
        <v>4698.26</v>
      </c>
      <c r="Y380">
        <f t="shared" si="40"/>
        <v>4698.26</v>
      </c>
      <c r="Z380">
        <v>2654.92</v>
      </c>
      <c r="AA380">
        <v>2043.34</v>
      </c>
      <c r="AB380">
        <f t="shared" si="45"/>
        <v>2043.3400000000001</v>
      </c>
      <c r="AC380" s="8">
        <f t="shared" si="46"/>
        <v>0.43491420227914163</v>
      </c>
      <c r="AD380" t="s">
        <v>32</v>
      </c>
      <c r="AE380" t="s">
        <v>33</v>
      </c>
      <c r="AF380" t="str">
        <f t="shared" si="47"/>
        <v>Perfect Match</v>
      </c>
    </row>
    <row r="381" spans="1:32">
      <c r="A381" t="str">
        <f>IF(OR(I381&lt;0, ISTEXT(W381), ISTEXT(Y381)), "Invalid", IF(OR(B381="Conflicting Duplicate", M381="Unknown", S381="Unknown"), "Warning", "Valid"))</f>
        <v>Valid</v>
      </c>
      <c r="B381" t="str">
        <f t="shared" si="41"/>
        <v>-</v>
      </c>
      <c r="C381" t="s">
        <v>2171</v>
      </c>
      <c r="D381" s="2">
        <v>45422</v>
      </c>
      <c r="E381" t="str">
        <f t="shared" si="42"/>
        <v>May</v>
      </c>
      <c r="F381">
        <f t="shared" si="43"/>
        <v>2024</v>
      </c>
      <c r="G381" s="2">
        <v>45571</v>
      </c>
      <c r="H381" t="s">
        <v>2172</v>
      </c>
      <c r="I381">
        <f t="shared" si="44"/>
        <v>149</v>
      </c>
      <c r="J381" t="s">
        <v>2795</v>
      </c>
      <c r="K381" t="s">
        <v>141</v>
      </c>
      <c r="L381" t="s">
        <v>37</v>
      </c>
      <c r="M381" t="s">
        <v>25</v>
      </c>
      <c r="N381" t="s">
        <v>122</v>
      </c>
      <c r="O381" t="s">
        <v>123</v>
      </c>
      <c r="P381" t="s">
        <v>41</v>
      </c>
      <c r="Q381" t="s">
        <v>42</v>
      </c>
      <c r="R381" t="s">
        <v>2173</v>
      </c>
      <c r="S381" t="s">
        <v>59</v>
      </c>
      <c r="T381">
        <v>9</v>
      </c>
      <c r="U381">
        <v>489.58</v>
      </c>
      <c r="V381">
        <v>0.15</v>
      </c>
      <c r="W381">
        <v>0.15</v>
      </c>
      <c r="X381">
        <v>3745.29</v>
      </c>
      <c r="Y381">
        <f t="shared" si="40"/>
        <v>3745.29</v>
      </c>
      <c r="Z381">
        <v>2302.65</v>
      </c>
      <c r="AA381">
        <v>1442.64</v>
      </c>
      <c r="AB381">
        <f t="shared" si="45"/>
        <v>1442.6399999999999</v>
      </c>
      <c r="AC381" s="8">
        <f t="shared" si="46"/>
        <v>0.38518779587161472</v>
      </c>
      <c r="AD381" t="s">
        <v>155</v>
      </c>
      <c r="AE381" t="s">
        <v>68</v>
      </c>
      <c r="AF381" t="str">
        <f t="shared" si="47"/>
        <v>Perfect Match</v>
      </c>
    </row>
    <row r="382" spans="1:32">
      <c r="A382" t="str">
        <f>IF(OR(I382&lt;0, ISTEXT(W382), ISTEXT(Y382)), "Invalid", IF(OR(B382="Conflicting Duplicate", M382="Unknown", S382="Unknown"), "Warning", "Valid"))</f>
        <v>Valid</v>
      </c>
      <c r="B382" t="str">
        <f t="shared" si="41"/>
        <v>-</v>
      </c>
      <c r="C382" t="s">
        <v>2174</v>
      </c>
      <c r="D382" s="2">
        <v>45546</v>
      </c>
      <c r="E382" t="str">
        <f t="shared" si="42"/>
        <v>September</v>
      </c>
      <c r="F382">
        <f t="shared" si="43"/>
        <v>2024</v>
      </c>
      <c r="G382" s="2">
        <v>45550</v>
      </c>
      <c r="H382" t="s">
        <v>2175</v>
      </c>
      <c r="I382">
        <f t="shared" si="44"/>
        <v>4</v>
      </c>
      <c r="J382" t="s">
        <v>2795</v>
      </c>
      <c r="K382" t="s">
        <v>132</v>
      </c>
      <c r="L382" t="s">
        <v>90</v>
      </c>
      <c r="M382" t="s">
        <v>54</v>
      </c>
      <c r="N382" t="s">
        <v>247</v>
      </c>
      <c r="O382" t="s">
        <v>248</v>
      </c>
      <c r="P382" t="s">
        <v>28</v>
      </c>
      <c r="Q382" t="s">
        <v>48</v>
      </c>
      <c r="R382" t="s">
        <v>2176</v>
      </c>
      <c r="S382" t="s">
        <v>59</v>
      </c>
      <c r="T382">
        <v>4</v>
      </c>
      <c r="U382">
        <v>865.63</v>
      </c>
      <c r="V382">
        <v>0</v>
      </c>
      <c r="W382">
        <v>0</v>
      </c>
      <c r="X382">
        <v>3462.52</v>
      </c>
      <c r="Y382">
        <f t="shared" si="40"/>
        <v>3462.52</v>
      </c>
      <c r="Z382">
        <v>2797.29</v>
      </c>
      <c r="AA382">
        <v>665.23</v>
      </c>
      <c r="AB382">
        <f t="shared" si="45"/>
        <v>665.23</v>
      </c>
      <c r="AC382" s="8">
        <f t="shared" si="46"/>
        <v>0.19212307798944123</v>
      </c>
      <c r="AD382" t="s">
        <v>155</v>
      </c>
      <c r="AE382" t="s">
        <v>103</v>
      </c>
      <c r="AF382" t="str">
        <f t="shared" si="47"/>
        <v>Perfect Match</v>
      </c>
    </row>
    <row r="383" spans="1:32">
      <c r="A383" t="str">
        <f>IF(OR(I383&lt;0, ISTEXT(W383), ISTEXT(Y383)), "Invalid", IF(OR(B383="Conflicting Duplicate", M383="Unknown", S383="Unknown"), "Warning", "Valid"))</f>
        <v>Valid</v>
      </c>
      <c r="B383" t="str">
        <f t="shared" si="41"/>
        <v>-</v>
      </c>
      <c r="C383" t="s">
        <v>2177</v>
      </c>
      <c r="D383" s="2">
        <v>45641</v>
      </c>
      <c r="E383" t="str">
        <f t="shared" si="42"/>
        <v>December</v>
      </c>
      <c r="F383">
        <f t="shared" si="43"/>
        <v>2024</v>
      </c>
      <c r="G383" s="2">
        <v>45642</v>
      </c>
      <c r="H383" t="s">
        <v>2178</v>
      </c>
      <c r="I383">
        <f t="shared" si="44"/>
        <v>1</v>
      </c>
      <c r="J383" t="s">
        <v>2795</v>
      </c>
      <c r="K383" t="s">
        <v>141</v>
      </c>
      <c r="L383" t="s">
        <v>24</v>
      </c>
      <c r="M383" t="s">
        <v>38</v>
      </c>
      <c r="N383" t="s">
        <v>39</v>
      </c>
      <c r="O383" t="s">
        <v>40</v>
      </c>
      <c r="P383" t="s">
        <v>74</v>
      </c>
      <c r="Q383" t="s">
        <v>80</v>
      </c>
      <c r="R383" t="s">
        <v>2179</v>
      </c>
      <c r="S383" t="s">
        <v>31</v>
      </c>
      <c r="T383">
        <v>6</v>
      </c>
      <c r="U383">
        <v>1538.1</v>
      </c>
      <c r="V383">
        <v>0.05</v>
      </c>
      <c r="W383">
        <v>0.05</v>
      </c>
      <c r="X383">
        <v>8767.17</v>
      </c>
      <c r="Y383">
        <f t="shared" si="40"/>
        <v>8767.17</v>
      </c>
      <c r="Z383">
        <v>5098.2</v>
      </c>
      <c r="AA383">
        <v>3668.97</v>
      </c>
      <c r="AB383">
        <f t="shared" si="45"/>
        <v>3668.9700000000003</v>
      </c>
      <c r="AC383" s="8">
        <f t="shared" si="46"/>
        <v>0.41848966085977574</v>
      </c>
      <c r="AD383" t="s">
        <v>32</v>
      </c>
      <c r="AE383" t="s">
        <v>33</v>
      </c>
      <c r="AF383" t="str">
        <f t="shared" si="47"/>
        <v>Perfect Match</v>
      </c>
    </row>
    <row r="384" spans="1:32">
      <c r="A384" s="6" t="str">
        <f>IF(OR(I384&lt;0, ISTEXT(W384), ISTEXT(Y384)), "Invalid", IF(OR(B384="Conflicting Duplicate", M384="Unknown", S384="Unknown"), "Warning", "Valid"))</f>
        <v>Invalid</v>
      </c>
      <c r="B384" t="str">
        <f t="shared" si="41"/>
        <v>-</v>
      </c>
      <c r="C384" t="s">
        <v>2188</v>
      </c>
      <c r="D384" s="2">
        <v>45474</v>
      </c>
      <c r="E384" t="str">
        <f t="shared" si="42"/>
        <v>July</v>
      </c>
      <c r="F384">
        <f t="shared" si="43"/>
        <v>2024</v>
      </c>
      <c r="G384" s="2">
        <v>45298</v>
      </c>
      <c r="H384" t="s">
        <v>2189</v>
      </c>
      <c r="I384" s="7">
        <f t="shared" si="44"/>
        <v>-176</v>
      </c>
      <c r="J384" s="7" t="s">
        <v>2802</v>
      </c>
      <c r="K384" t="s">
        <v>128</v>
      </c>
      <c r="L384" t="s">
        <v>24</v>
      </c>
      <c r="M384" t="s">
        <v>63</v>
      </c>
      <c r="N384" t="s">
        <v>72</v>
      </c>
      <c r="O384" t="s">
        <v>73</v>
      </c>
      <c r="P384" t="s">
        <v>74</v>
      </c>
      <c r="Q384" t="s">
        <v>274</v>
      </c>
      <c r="R384" t="s">
        <v>2190</v>
      </c>
      <c r="S384" t="s">
        <v>59</v>
      </c>
      <c r="T384">
        <v>4</v>
      </c>
      <c r="U384">
        <v>257.39</v>
      </c>
      <c r="V384">
        <v>0</v>
      </c>
      <c r="W384">
        <v>0</v>
      </c>
      <c r="X384">
        <v>1029.56</v>
      </c>
      <c r="Y384">
        <f t="shared" si="40"/>
        <v>1029.56</v>
      </c>
      <c r="Z384">
        <v>626.33000000000004</v>
      </c>
      <c r="AA384">
        <v>403.23</v>
      </c>
      <c r="AB384">
        <f t="shared" si="45"/>
        <v>403.2299999999999</v>
      </c>
      <c r="AC384" s="8">
        <f t="shared" si="46"/>
        <v>0.39165274486188267</v>
      </c>
      <c r="AD384" t="s">
        <v>32</v>
      </c>
      <c r="AE384" t="s">
        <v>33</v>
      </c>
      <c r="AF384" t="str">
        <f t="shared" si="47"/>
        <v>Perfect Match</v>
      </c>
    </row>
    <row r="385" spans="1:32">
      <c r="A385" t="str">
        <f>IF(OR(I385&lt;0, ISTEXT(W385), ISTEXT(Y385)), "Invalid", IF(OR(B385="Conflicting Duplicate", M385="Unknown", S385="Unknown"), "Warning", "Valid"))</f>
        <v>Valid</v>
      </c>
      <c r="B385" t="str">
        <f t="shared" si="41"/>
        <v>-</v>
      </c>
      <c r="C385" t="s">
        <v>2197</v>
      </c>
      <c r="D385" s="2">
        <v>45549</v>
      </c>
      <c r="E385" t="str">
        <f t="shared" si="42"/>
        <v>September</v>
      </c>
      <c r="F385">
        <f t="shared" si="43"/>
        <v>2024</v>
      </c>
      <c r="G385" s="2">
        <v>45549</v>
      </c>
      <c r="H385" t="s">
        <v>2198</v>
      </c>
      <c r="I385">
        <f t="shared" si="44"/>
        <v>0</v>
      </c>
      <c r="J385" t="s">
        <v>2795</v>
      </c>
      <c r="K385" t="s">
        <v>36</v>
      </c>
      <c r="L385" t="s">
        <v>90</v>
      </c>
      <c r="M385" t="s">
        <v>25</v>
      </c>
      <c r="N385" t="s">
        <v>26</v>
      </c>
      <c r="O385" t="s">
        <v>27</v>
      </c>
      <c r="P385" t="s">
        <v>74</v>
      </c>
      <c r="Q385" t="s">
        <v>274</v>
      </c>
      <c r="R385" t="s">
        <v>2199</v>
      </c>
      <c r="S385" t="s">
        <v>59</v>
      </c>
      <c r="T385">
        <v>8</v>
      </c>
      <c r="U385">
        <v>4081.66</v>
      </c>
      <c r="V385">
        <v>0.15</v>
      </c>
      <c r="W385">
        <v>0.15</v>
      </c>
      <c r="X385">
        <v>28208.1</v>
      </c>
      <c r="Y385">
        <f t="shared" si="40"/>
        <v>27755.29</v>
      </c>
      <c r="Z385">
        <v>23751.91</v>
      </c>
      <c r="AA385">
        <v>4003.38</v>
      </c>
      <c r="AB385">
        <f t="shared" si="45"/>
        <v>4003.380000000001</v>
      </c>
      <c r="AC385" s="8">
        <f t="shared" si="46"/>
        <v>0.14423844967932242</v>
      </c>
      <c r="AD385" t="s">
        <v>32</v>
      </c>
      <c r="AE385" t="s">
        <v>103</v>
      </c>
      <c r="AF385" t="str">
        <f t="shared" si="47"/>
        <v>Mismatch Found</v>
      </c>
    </row>
    <row r="386" spans="1:32">
      <c r="A386" t="str">
        <f>IF(OR(I386&lt;0, ISTEXT(W386), ISTEXT(Y386)), "Invalid", IF(OR(B386="Conflicting Duplicate", M386="Unknown", S386="Unknown"), "Warning", "Valid"))</f>
        <v>Valid</v>
      </c>
      <c r="B386" t="str">
        <f t="shared" si="41"/>
        <v>-</v>
      </c>
      <c r="C386" t="s">
        <v>2200</v>
      </c>
      <c r="D386" s="2">
        <v>45454</v>
      </c>
      <c r="E386" t="str">
        <f t="shared" si="42"/>
        <v>June</v>
      </c>
      <c r="F386">
        <f t="shared" si="43"/>
        <v>2024</v>
      </c>
      <c r="G386" s="2">
        <v>45454</v>
      </c>
      <c r="H386" t="s">
        <v>2201</v>
      </c>
      <c r="I386">
        <f t="shared" si="44"/>
        <v>0</v>
      </c>
      <c r="J386" t="s">
        <v>2795</v>
      </c>
      <c r="K386" t="s">
        <v>53</v>
      </c>
      <c r="L386" t="s">
        <v>37</v>
      </c>
      <c r="M386" t="s">
        <v>54</v>
      </c>
      <c r="N386" t="s">
        <v>175</v>
      </c>
      <c r="O386" t="s">
        <v>176</v>
      </c>
      <c r="P386" t="s">
        <v>41</v>
      </c>
      <c r="Q386" t="s">
        <v>158</v>
      </c>
      <c r="R386" t="s">
        <v>2202</v>
      </c>
      <c r="S386" t="s">
        <v>59</v>
      </c>
      <c r="T386">
        <v>9</v>
      </c>
      <c r="U386">
        <v>1400.11</v>
      </c>
      <c r="V386">
        <v>0.25</v>
      </c>
      <c r="W386">
        <v>0.25</v>
      </c>
      <c r="X386">
        <v>9450.74</v>
      </c>
      <c r="Y386">
        <f t="shared" ref="Y386:Y449" si="48">IF(ISTEXT(W386), "Cannot Calculate", ROUND(T386 * U386 * (1 - W386), 2))</f>
        <v>9450.74</v>
      </c>
      <c r="Z386">
        <v>7798.56</v>
      </c>
      <c r="AA386">
        <v>1652.18</v>
      </c>
      <c r="AB386">
        <f t="shared" si="45"/>
        <v>1652.1799999999994</v>
      </c>
      <c r="AC386" s="8">
        <f t="shared" si="46"/>
        <v>0.1748201728118644</v>
      </c>
      <c r="AD386" t="s">
        <v>32</v>
      </c>
      <c r="AE386" t="s">
        <v>33</v>
      </c>
      <c r="AF386" t="str">
        <f t="shared" si="47"/>
        <v>Perfect Match</v>
      </c>
    </row>
    <row r="387" spans="1:32">
      <c r="A387" t="str">
        <f>IF(OR(I387&lt;0, ISTEXT(W387), ISTEXT(Y387)), "Invalid", IF(OR(B387="Conflicting Duplicate", M387="Unknown", S387="Unknown"), "Warning", "Valid"))</f>
        <v>Valid</v>
      </c>
      <c r="B387" t="str">
        <f t="shared" ref="B387:B450" si="49">IF(COUNTIF(C:C, C387)&gt;1, "Conflicting Duplicate", "-")</f>
        <v>-</v>
      </c>
      <c r="C387" t="s">
        <v>2203</v>
      </c>
      <c r="D387" s="2">
        <v>45553</v>
      </c>
      <c r="E387" t="str">
        <f t="shared" ref="E387:E450" si="50">TEXT(D387, "mmmm")</f>
        <v>September</v>
      </c>
      <c r="F387">
        <f t="shared" ref="F387:F450" si="51">YEAR(D387)</f>
        <v>2024</v>
      </c>
      <c r="G387" s="2">
        <v>45556</v>
      </c>
      <c r="H387" t="s">
        <v>2204</v>
      </c>
      <c r="I387">
        <f t="shared" ref="I387:I450" si="52">G387-D387</f>
        <v>3</v>
      </c>
      <c r="J387" t="s">
        <v>2795</v>
      </c>
      <c r="K387" t="s">
        <v>79</v>
      </c>
      <c r="L387" t="s">
        <v>90</v>
      </c>
      <c r="M387" t="s">
        <v>38</v>
      </c>
      <c r="N387" t="s">
        <v>99</v>
      </c>
      <c r="O387" t="s">
        <v>100</v>
      </c>
      <c r="P387" t="s">
        <v>74</v>
      </c>
      <c r="Q387" t="s">
        <v>274</v>
      </c>
      <c r="R387" t="s">
        <v>2205</v>
      </c>
      <c r="S387" t="s">
        <v>59</v>
      </c>
      <c r="T387">
        <v>3</v>
      </c>
      <c r="U387">
        <v>3055.9</v>
      </c>
      <c r="V387">
        <v>0.15</v>
      </c>
      <c r="W387">
        <v>0.15</v>
      </c>
      <c r="X387">
        <v>7792.55</v>
      </c>
      <c r="Y387">
        <f t="shared" si="48"/>
        <v>7792.55</v>
      </c>
      <c r="Z387">
        <v>4691.7299999999996</v>
      </c>
      <c r="AA387">
        <v>3100.82</v>
      </c>
      <c r="AB387">
        <f t="shared" ref="AB387:AB450" si="53">IF(ISTEXT(Y387), "Cannot Calculate", Y387 - Z387)</f>
        <v>3100.8200000000006</v>
      </c>
      <c r="AC387" s="8">
        <f t="shared" ref="AC387:AC450" si="54">IFERROR(AB387 / Y387, 0)</f>
        <v>0.39792109129874054</v>
      </c>
      <c r="AD387" t="s">
        <v>32</v>
      </c>
      <c r="AE387" t="s">
        <v>33</v>
      </c>
      <c r="AF387" t="str">
        <f t="shared" ref="AF387:AF450" si="55">IF(OR(ISTEXT(Z387), ISTEXT(AB387)), "Calculation Blocked", IF(OR(ROUND(X387, 2) &lt;&gt; ROUND(Y387, 2), ROUND(AA387, 2) &lt;&gt; ROUND(AB387, 2)), "Mismatch Found", "Perfect Match"))</f>
        <v>Perfect Match</v>
      </c>
    </row>
    <row r="388" spans="1:32">
      <c r="A388" t="str">
        <f>IF(OR(I388&lt;0, ISTEXT(W388), ISTEXT(Y388)), "Invalid", IF(OR(B388="Conflicting Duplicate", M388="Unknown", S388="Unknown"), "Warning", "Valid"))</f>
        <v>Valid</v>
      </c>
      <c r="B388" t="str">
        <f t="shared" si="49"/>
        <v>-</v>
      </c>
      <c r="C388" t="s">
        <v>2206</v>
      </c>
      <c r="D388" s="2">
        <v>45412</v>
      </c>
      <c r="E388" t="str">
        <f t="shared" si="50"/>
        <v>April</v>
      </c>
      <c r="F388">
        <f t="shared" si="51"/>
        <v>2024</v>
      </c>
      <c r="G388" s="2">
        <v>45416</v>
      </c>
      <c r="H388" t="s">
        <v>2207</v>
      </c>
      <c r="I388">
        <f t="shared" si="52"/>
        <v>4</v>
      </c>
      <c r="J388" t="s">
        <v>2795</v>
      </c>
      <c r="K388" t="s">
        <v>141</v>
      </c>
      <c r="L388" t="s">
        <v>37</v>
      </c>
      <c r="M388" t="s">
        <v>63</v>
      </c>
      <c r="N388" t="s">
        <v>180</v>
      </c>
      <c r="O388" t="s">
        <v>181</v>
      </c>
      <c r="P388" t="s">
        <v>28</v>
      </c>
      <c r="Q388" t="s">
        <v>48</v>
      </c>
      <c r="R388" t="s">
        <v>2208</v>
      </c>
      <c r="S388" t="s">
        <v>44</v>
      </c>
      <c r="T388">
        <v>7</v>
      </c>
      <c r="U388">
        <v>1224.94</v>
      </c>
      <c r="V388">
        <v>0</v>
      </c>
      <c r="W388">
        <v>0</v>
      </c>
      <c r="X388">
        <v>8574.58</v>
      </c>
      <c r="Y388">
        <f t="shared" si="48"/>
        <v>8574.58</v>
      </c>
      <c r="Z388">
        <v>6685.81</v>
      </c>
      <c r="AA388">
        <v>1888.77</v>
      </c>
      <c r="AB388">
        <f t="shared" si="53"/>
        <v>1888.7699999999995</v>
      </c>
      <c r="AC388" s="8">
        <f t="shared" si="54"/>
        <v>0.22027551203674112</v>
      </c>
      <c r="AD388" t="s">
        <v>32</v>
      </c>
      <c r="AE388" t="s">
        <v>103</v>
      </c>
      <c r="AF388" t="str">
        <f t="shared" si="55"/>
        <v>Perfect Match</v>
      </c>
    </row>
    <row r="389" spans="1:32">
      <c r="A389" t="str">
        <f>IF(OR(I389&lt;0, ISTEXT(W389), ISTEXT(Y389)), "Invalid", IF(OR(B389="Conflicting Duplicate", M389="Unknown", S389="Unknown"), "Warning", "Valid"))</f>
        <v>Valid</v>
      </c>
      <c r="B389" t="str">
        <f t="shared" si="49"/>
        <v>-</v>
      </c>
      <c r="C389" t="s">
        <v>2212</v>
      </c>
      <c r="D389" s="2">
        <v>45584</v>
      </c>
      <c r="E389" t="str">
        <f t="shared" si="50"/>
        <v>October</v>
      </c>
      <c r="F389">
        <f t="shared" si="51"/>
        <v>2024</v>
      </c>
      <c r="G389" s="2">
        <v>45585</v>
      </c>
      <c r="H389" t="s">
        <v>2213</v>
      </c>
      <c r="I389">
        <f t="shared" si="52"/>
        <v>1</v>
      </c>
      <c r="J389" t="s">
        <v>2795</v>
      </c>
      <c r="K389" t="s">
        <v>89</v>
      </c>
      <c r="L389" t="s">
        <v>90</v>
      </c>
      <c r="M389" t="s">
        <v>25</v>
      </c>
      <c r="N389" t="s">
        <v>26</v>
      </c>
      <c r="O389" t="s">
        <v>27</v>
      </c>
      <c r="P389" t="s">
        <v>41</v>
      </c>
      <c r="Q389" t="s">
        <v>42</v>
      </c>
      <c r="R389" t="s">
        <v>2214</v>
      </c>
      <c r="S389" t="s">
        <v>50</v>
      </c>
      <c r="T389">
        <v>1</v>
      </c>
      <c r="U389">
        <v>1150.03</v>
      </c>
      <c r="V389">
        <v>0.1</v>
      </c>
      <c r="W389">
        <v>0.1</v>
      </c>
      <c r="X389">
        <v>1035.03</v>
      </c>
      <c r="Y389">
        <f t="shared" si="48"/>
        <v>1035.03</v>
      </c>
      <c r="Z389">
        <v>854.35</v>
      </c>
      <c r="AA389">
        <v>180.68</v>
      </c>
      <c r="AB389">
        <f t="shared" si="53"/>
        <v>180.67999999999995</v>
      </c>
      <c r="AC389" s="8">
        <f t="shared" si="54"/>
        <v>0.17456498845444088</v>
      </c>
      <c r="AD389" t="s">
        <v>32</v>
      </c>
      <c r="AE389" t="s">
        <v>33</v>
      </c>
      <c r="AF389" t="str">
        <f t="shared" si="55"/>
        <v>Perfect Match</v>
      </c>
    </row>
    <row r="390" spans="1:32">
      <c r="A390" s="6" t="str">
        <f>IF(OR(I390&lt;0, ISTEXT(W390), ISTEXT(Y390)), "Invalid", IF(OR(B390="Conflicting Duplicate", M390="Unknown", S390="Unknown"), "Warning", "Valid"))</f>
        <v>Warning</v>
      </c>
      <c r="B390" t="str">
        <f t="shared" si="49"/>
        <v>-</v>
      </c>
      <c r="C390" t="s">
        <v>2215</v>
      </c>
      <c r="D390" s="2">
        <v>45364</v>
      </c>
      <c r="E390" t="str">
        <f t="shared" si="50"/>
        <v>March</v>
      </c>
      <c r="F390">
        <f t="shared" si="51"/>
        <v>2024</v>
      </c>
      <c r="G390" s="2">
        <v>45371</v>
      </c>
      <c r="H390" t="s">
        <v>2216</v>
      </c>
      <c r="I390">
        <f t="shared" si="52"/>
        <v>7</v>
      </c>
      <c r="J390" t="s">
        <v>2795</v>
      </c>
      <c r="K390" t="s">
        <v>114</v>
      </c>
      <c r="L390" t="s">
        <v>95</v>
      </c>
      <c r="M390" t="s">
        <v>54</v>
      </c>
      <c r="N390" t="s">
        <v>247</v>
      </c>
      <c r="O390" t="s">
        <v>248</v>
      </c>
      <c r="P390" t="s">
        <v>41</v>
      </c>
      <c r="Q390" t="s">
        <v>158</v>
      </c>
      <c r="R390" t="s">
        <v>2217</v>
      </c>
      <c r="S390" s="4" t="s">
        <v>2790</v>
      </c>
      <c r="T390">
        <v>1</v>
      </c>
      <c r="U390">
        <v>2825.63</v>
      </c>
      <c r="V390">
        <v>0.15</v>
      </c>
      <c r="W390">
        <v>0.15</v>
      </c>
      <c r="X390">
        <v>2401.79</v>
      </c>
      <c r="Y390">
        <f t="shared" si="48"/>
        <v>2401.79</v>
      </c>
      <c r="Z390">
        <v>1820.34</v>
      </c>
      <c r="AA390">
        <v>581.45000000000005</v>
      </c>
      <c r="AB390">
        <f t="shared" si="53"/>
        <v>581.45000000000005</v>
      </c>
      <c r="AC390" s="8">
        <f t="shared" si="54"/>
        <v>0.24209027433705696</v>
      </c>
      <c r="AD390" t="s">
        <v>32</v>
      </c>
      <c r="AE390" t="s">
        <v>33</v>
      </c>
      <c r="AF390" t="str">
        <f t="shared" si="55"/>
        <v>Perfect Match</v>
      </c>
    </row>
    <row r="391" spans="1:32">
      <c r="A391" t="str">
        <f>IF(OR(I391&lt;0, ISTEXT(W391), ISTEXT(Y391)), "Invalid", IF(OR(B391="Conflicting Duplicate", M391="Unknown", S391="Unknown"), "Warning", "Valid"))</f>
        <v>Valid</v>
      </c>
      <c r="B391" t="str">
        <f t="shared" si="49"/>
        <v>-</v>
      </c>
      <c r="C391" t="s">
        <v>2218</v>
      </c>
      <c r="D391" s="2">
        <v>45543</v>
      </c>
      <c r="E391" t="str">
        <f t="shared" si="50"/>
        <v>September</v>
      </c>
      <c r="F391">
        <f t="shared" si="51"/>
        <v>2024</v>
      </c>
      <c r="G391" s="2">
        <v>45549</v>
      </c>
      <c r="H391" t="s">
        <v>2219</v>
      </c>
      <c r="I391">
        <f t="shared" si="52"/>
        <v>6</v>
      </c>
      <c r="J391" t="s">
        <v>2795</v>
      </c>
      <c r="K391" t="s">
        <v>141</v>
      </c>
      <c r="L391" t="s">
        <v>24</v>
      </c>
      <c r="M391" t="s">
        <v>25</v>
      </c>
      <c r="N391" t="s">
        <v>26</v>
      </c>
      <c r="O391" t="s">
        <v>27</v>
      </c>
      <c r="P391" t="s">
        <v>28</v>
      </c>
      <c r="Q391" t="s">
        <v>153</v>
      </c>
      <c r="R391" t="s">
        <v>2220</v>
      </c>
      <c r="S391" t="s">
        <v>59</v>
      </c>
      <c r="T391">
        <v>5</v>
      </c>
      <c r="U391">
        <v>3371.75</v>
      </c>
      <c r="V391">
        <v>0.05</v>
      </c>
      <c r="W391">
        <v>0.05</v>
      </c>
      <c r="X391">
        <v>16015.81</v>
      </c>
      <c r="Y391">
        <f t="shared" si="48"/>
        <v>16015.81</v>
      </c>
      <c r="Z391">
        <v>11352.38</v>
      </c>
      <c r="AA391">
        <v>4663.43</v>
      </c>
      <c r="AB391">
        <f t="shared" si="53"/>
        <v>4663.43</v>
      </c>
      <c r="AC391" s="8">
        <f t="shared" si="54"/>
        <v>0.2911766560667241</v>
      </c>
      <c r="AD391" t="s">
        <v>32</v>
      </c>
      <c r="AE391" t="s">
        <v>33</v>
      </c>
      <c r="AF391" t="str">
        <f t="shared" si="55"/>
        <v>Perfect Match</v>
      </c>
    </row>
    <row r="392" spans="1:32">
      <c r="A392" t="str">
        <f>IF(OR(I392&lt;0, ISTEXT(W392), ISTEXT(Y392)), "Invalid", IF(OR(B392="Conflicting Duplicate", M392="Unknown", S392="Unknown"), "Warning", "Valid"))</f>
        <v>Valid</v>
      </c>
      <c r="B392" t="str">
        <f t="shared" si="49"/>
        <v>-</v>
      </c>
      <c r="C392" t="s">
        <v>2221</v>
      </c>
      <c r="D392" s="2">
        <v>45467</v>
      </c>
      <c r="E392" t="str">
        <f t="shared" si="50"/>
        <v>June</v>
      </c>
      <c r="F392">
        <f t="shared" si="51"/>
        <v>2024</v>
      </c>
      <c r="G392" s="2">
        <v>45471</v>
      </c>
      <c r="H392" t="s">
        <v>2222</v>
      </c>
      <c r="I392">
        <f t="shared" si="52"/>
        <v>4</v>
      </c>
      <c r="J392" t="s">
        <v>2795</v>
      </c>
      <c r="K392" t="s">
        <v>47</v>
      </c>
      <c r="L392" t="s">
        <v>37</v>
      </c>
      <c r="M392" t="s">
        <v>38</v>
      </c>
      <c r="N392" t="s">
        <v>39</v>
      </c>
      <c r="O392" t="s">
        <v>40</v>
      </c>
      <c r="P392" t="s">
        <v>28</v>
      </c>
      <c r="Q392" t="s">
        <v>29</v>
      </c>
      <c r="R392" t="s">
        <v>2223</v>
      </c>
      <c r="S392" t="s">
        <v>44</v>
      </c>
      <c r="T392">
        <v>1</v>
      </c>
      <c r="U392">
        <v>2112.75</v>
      </c>
      <c r="V392">
        <v>0.1</v>
      </c>
      <c r="W392">
        <v>0.1</v>
      </c>
      <c r="X392">
        <v>1901.48</v>
      </c>
      <c r="Y392">
        <f t="shared" si="48"/>
        <v>1901.48</v>
      </c>
      <c r="Z392">
        <v>1354.28</v>
      </c>
      <c r="AA392">
        <v>547.20000000000005</v>
      </c>
      <c r="AB392">
        <f t="shared" si="53"/>
        <v>547.20000000000005</v>
      </c>
      <c r="AC392" s="8">
        <f t="shared" si="54"/>
        <v>0.2877758377684751</v>
      </c>
      <c r="AD392" t="s">
        <v>32</v>
      </c>
      <c r="AE392" t="s">
        <v>33</v>
      </c>
      <c r="AF392" t="str">
        <f t="shared" si="55"/>
        <v>Perfect Match</v>
      </c>
    </row>
    <row r="393" spans="1:32">
      <c r="A393" t="str">
        <f>IF(OR(I393&lt;0, ISTEXT(W393), ISTEXT(Y393)), "Invalid", IF(OR(B393="Conflicting Duplicate", M393="Unknown", S393="Unknown"), "Warning", "Valid"))</f>
        <v>Valid</v>
      </c>
      <c r="B393" t="str">
        <f t="shared" si="49"/>
        <v>-</v>
      </c>
      <c r="C393" t="s">
        <v>2233</v>
      </c>
      <c r="D393" s="2">
        <v>45485</v>
      </c>
      <c r="E393" t="str">
        <f t="shared" si="50"/>
        <v>July</v>
      </c>
      <c r="F393">
        <f t="shared" si="51"/>
        <v>2024</v>
      </c>
      <c r="G393" s="2">
        <v>45492</v>
      </c>
      <c r="H393" t="s">
        <v>2234</v>
      </c>
      <c r="I393">
        <f t="shared" si="52"/>
        <v>7</v>
      </c>
      <c r="J393" t="s">
        <v>2795</v>
      </c>
      <c r="K393" t="s">
        <v>71</v>
      </c>
      <c r="L393" t="s">
        <v>90</v>
      </c>
      <c r="M393" t="s">
        <v>25</v>
      </c>
      <c r="N393" t="s">
        <v>122</v>
      </c>
      <c r="O393" t="s">
        <v>123</v>
      </c>
      <c r="P393" t="s">
        <v>28</v>
      </c>
      <c r="Q393" t="s">
        <v>48</v>
      </c>
      <c r="R393" t="s">
        <v>2235</v>
      </c>
      <c r="S393" t="s">
        <v>31</v>
      </c>
      <c r="T393">
        <v>5</v>
      </c>
      <c r="U393">
        <v>1559.16</v>
      </c>
      <c r="V393">
        <v>0.05</v>
      </c>
      <c r="W393">
        <v>0.05</v>
      </c>
      <c r="X393">
        <v>7406.01</v>
      </c>
      <c r="Y393">
        <f t="shared" si="48"/>
        <v>7406.01</v>
      </c>
      <c r="Z393">
        <v>5941.74</v>
      </c>
      <c r="AA393">
        <v>1464.27</v>
      </c>
      <c r="AB393">
        <f t="shared" si="53"/>
        <v>1464.2700000000004</v>
      </c>
      <c r="AC393" s="8">
        <f t="shared" si="54"/>
        <v>0.19771374869869207</v>
      </c>
      <c r="AD393" t="s">
        <v>32</v>
      </c>
      <c r="AE393" t="s">
        <v>33</v>
      </c>
      <c r="AF393" t="str">
        <f t="shared" si="55"/>
        <v>Perfect Match</v>
      </c>
    </row>
    <row r="394" spans="1:32">
      <c r="A394" t="str">
        <f>IF(OR(I394&lt;0, ISTEXT(W394), ISTEXT(Y394)), "Invalid", IF(OR(B394="Conflicting Duplicate", M394="Unknown", S394="Unknown"), "Warning", "Valid"))</f>
        <v>Valid</v>
      </c>
      <c r="B394" t="str">
        <f t="shared" si="49"/>
        <v>-</v>
      </c>
      <c r="C394" t="s">
        <v>2239</v>
      </c>
      <c r="D394" s="2">
        <v>45332</v>
      </c>
      <c r="E394" t="str">
        <f t="shared" si="50"/>
        <v>February</v>
      </c>
      <c r="F394">
        <f t="shared" si="51"/>
        <v>2024</v>
      </c>
      <c r="G394" s="2">
        <v>45340</v>
      </c>
      <c r="H394" t="s">
        <v>2240</v>
      </c>
      <c r="I394">
        <f t="shared" si="52"/>
        <v>8</v>
      </c>
      <c r="J394" t="s">
        <v>2795</v>
      </c>
      <c r="K394" t="s">
        <v>47</v>
      </c>
      <c r="L394" t="s">
        <v>95</v>
      </c>
      <c r="M394" t="s">
        <v>63</v>
      </c>
      <c r="N394" t="s">
        <v>72</v>
      </c>
      <c r="O394" t="s">
        <v>73</v>
      </c>
      <c r="P394" t="s">
        <v>41</v>
      </c>
      <c r="Q394" t="s">
        <v>66</v>
      </c>
      <c r="R394" t="s">
        <v>2241</v>
      </c>
      <c r="S394" t="s">
        <v>50</v>
      </c>
      <c r="T394">
        <v>7</v>
      </c>
      <c r="U394">
        <v>1382.86</v>
      </c>
      <c r="V394">
        <v>0</v>
      </c>
      <c r="W394">
        <v>0</v>
      </c>
      <c r="X394">
        <v>9680.02</v>
      </c>
      <c r="Y394">
        <f t="shared" si="48"/>
        <v>9680.02</v>
      </c>
      <c r="Z394">
        <v>6876.66</v>
      </c>
      <c r="AA394">
        <v>2803.36</v>
      </c>
      <c r="AB394">
        <f t="shared" si="53"/>
        <v>2803.3600000000006</v>
      </c>
      <c r="AC394" s="8">
        <f t="shared" si="54"/>
        <v>0.28960270743242272</v>
      </c>
      <c r="AD394" t="s">
        <v>32</v>
      </c>
      <c r="AE394" t="s">
        <v>33</v>
      </c>
      <c r="AF394" t="str">
        <f t="shared" si="55"/>
        <v>Perfect Match</v>
      </c>
    </row>
    <row r="395" spans="1:32">
      <c r="A395" t="str">
        <f>IF(OR(I395&lt;0, ISTEXT(W395), ISTEXT(Y395)), "Invalid", IF(OR(B395="Conflicting Duplicate", M395="Unknown", S395="Unknown"), "Warning", "Valid"))</f>
        <v>Valid</v>
      </c>
      <c r="B395" t="str">
        <f t="shared" si="49"/>
        <v>-</v>
      </c>
      <c r="C395" t="s">
        <v>2256</v>
      </c>
      <c r="D395" s="2">
        <v>45541</v>
      </c>
      <c r="E395" t="str">
        <f t="shared" si="50"/>
        <v>September</v>
      </c>
      <c r="F395">
        <f t="shared" si="51"/>
        <v>2024</v>
      </c>
      <c r="G395" s="2">
        <v>45544</v>
      </c>
      <c r="H395" t="s">
        <v>2257</v>
      </c>
      <c r="I395">
        <f t="shared" si="52"/>
        <v>3</v>
      </c>
      <c r="J395" t="s">
        <v>2795</v>
      </c>
      <c r="K395" t="s">
        <v>36</v>
      </c>
      <c r="L395" t="s">
        <v>24</v>
      </c>
      <c r="M395" t="s">
        <v>63</v>
      </c>
      <c r="N395" t="s">
        <v>64</v>
      </c>
      <c r="O395" t="s">
        <v>65</v>
      </c>
      <c r="P395" t="s">
        <v>28</v>
      </c>
      <c r="Q395" t="s">
        <v>48</v>
      </c>
      <c r="R395" t="s">
        <v>2258</v>
      </c>
      <c r="S395" t="s">
        <v>44</v>
      </c>
      <c r="T395">
        <v>3</v>
      </c>
      <c r="U395">
        <v>1972.27</v>
      </c>
      <c r="V395">
        <v>0.2</v>
      </c>
      <c r="W395">
        <v>0.2</v>
      </c>
      <c r="X395">
        <v>4733.45</v>
      </c>
      <c r="Y395">
        <f t="shared" si="48"/>
        <v>4733.45</v>
      </c>
      <c r="Z395">
        <v>3672.32</v>
      </c>
      <c r="AA395">
        <v>1061.1300000000001</v>
      </c>
      <c r="AB395">
        <f t="shared" si="53"/>
        <v>1061.1299999999997</v>
      </c>
      <c r="AC395" s="8">
        <f t="shared" si="54"/>
        <v>0.22417686887999233</v>
      </c>
      <c r="AD395" t="s">
        <v>32</v>
      </c>
      <c r="AE395" t="s">
        <v>33</v>
      </c>
      <c r="AF395" t="str">
        <f t="shared" si="55"/>
        <v>Perfect Match</v>
      </c>
    </row>
    <row r="396" spans="1:32">
      <c r="A396" t="str">
        <f>IF(OR(I396&lt;0, ISTEXT(W396), ISTEXT(Y396)), "Invalid", IF(OR(B396="Conflicting Duplicate", M396="Unknown", S396="Unknown"), "Warning", "Valid"))</f>
        <v>Valid</v>
      </c>
      <c r="B396" t="str">
        <f t="shared" si="49"/>
        <v>-</v>
      </c>
      <c r="C396" t="s">
        <v>2261</v>
      </c>
      <c r="D396" s="2">
        <v>45489</v>
      </c>
      <c r="E396" t="str">
        <f t="shared" si="50"/>
        <v>July</v>
      </c>
      <c r="F396">
        <f t="shared" si="51"/>
        <v>2024</v>
      </c>
      <c r="G396" s="2">
        <v>45489</v>
      </c>
      <c r="H396" t="s">
        <v>2262</v>
      </c>
      <c r="I396">
        <f t="shared" si="52"/>
        <v>0</v>
      </c>
      <c r="J396" t="s">
        <v>2795</v>
      </c>
      <c r="K396" t="s">
        <v>89</v>
      </c>
      <c r="L396" t="s">
        <v>95</v>
      </c>
      <c r="M396" t="s">
        <v>63</v>
      </c>
      <c r="N396" t="s">
        <v>72</v>
      </c>
      <c r="O396" t="s">
        <v>73</v>
      </c>
      <c r="P396" t="s">
        <v>74</v>
      </c>
      <c r="Q396" t="s">
        <v>80</v>
      </c>
      <c r="R396" t="s">
        <v>2263</v>
      </c>
      <c r="S396" t="s">
        <v>44</v>
      </c>
      <c r="T396">
        <v>4</v>
      </c>
      <c r="U396">
        <v>4479.92</v>
      </c>
      <c r="V396">
        <v>0.15</v>
      </c>
      <c r="W396">
        <v>0.15</v>
      </c>
      <c r="X396">
        <v>15231.73</v>
      </c>
      <c r="Y396">
        <f t="shared" si="48"/>
        <v>15231.73</v>
      </c>
      <c r="Z396">
        <v>12451.46</v>
      </c>
      <c r="AA396">
        <v>2780.27</v>
      </c>
      <c r="AB396">
        <f t="shared" si="53"/>
        <v>2780.2700000000004</v>
      </c>
      <c r="AC396" s="8">
        <f t="shared" si="54"/>
        <v>0.18253146556563177</v>
      </c>
      <c r="AD396" t="s">
        <v>32</v>
      </c>
      <c r="AE396" t="s">
        <v>33</v>
      </c>
      <c r="AF396" t="str">
        <f t="shared" si="55"/>
        <v>Perfect Match</v>
      </c>
    </row>
    <row r="397" spans="1:32">
      <c r="A397" t="str">
        <f>IF(OR(I397&lt;0, ISTEXT(W397), ISTEXT(Y397)), "Invalid", IF(OR(B397="Conflicting Duplicate", M397="Unknown", S397="Unknown"), "Warning", "Valid"))</f>
        <v>Valid</v>
      </c>
      <c r="B397" t="str">
        <f t="shared" si="49"/>
        <v>-</v>
      </c>
      <c r="C397" t="s">
        <v>2267</v>
      </c>
      <c r="D397" s="2">
        <v>45572</v>
      </c>
      <c r="E397" t="str">
        <f t="shared" si="50"/>
        <v>October</v>
      </c>
      <c r="F397">
        <f t="shared" si="51"/>
        <v>2024</v>
      </c>
      <c r="G397" s="2">
        <v>45575</v>
      </c>
      <c r="H397" t="s">
        <v>2268</v>
      </c>
      <c r="I397">
        <f t="shared" si="52"/>
        <v>3</v>
      </c>
      <c r="J397" t="s">
        <v>2795</v>
      </c>
      <c r="K397" t="s">
        <v>71</v>
      </c>
      <c r="L397" t="s">
        <v>24</v>
      </c>
      <c r="M397" t="s">
        <v>38</v>
      </c>
      <c r="N397" t="s">
        <v>99</v>
      </c>
      <c r="O397" t="s">
        <v>100</v>
      </c>
      <c r="P397" t="s">
        <v>41</v>
      </c>
      <c r="Q397" t="s">
        <v>66</v>
      </c>
      <c r="R397" t="s">
        <v>2269</v>
      </c>
      <c r="S397" t="s">
        <v>31</v>
      </c>
      <c r="T397">
        <v>9</v>
      </c>
      <c r="U397">
        <v>481.51</v>
      </c>
      <c r="V397">
        <f>IF(ROUND(T379*U379, 2)=ROUND(X379, 2), 0, "Flag - Missing Value")</f>
        <v>0</v>
      </c>
      <c r="W397">
        <v>0</v>
      </c>
      <c r="X397">
        <v>4333.59</v>
      </c>
      <c r="Y397">
        <f t="shared" si="48"/>
        <v>4333.59</v>
      </c>
      <c r="Z397">
        <v>2533.59</v>
      </c>
      <c r="AA397">
        <v>1800</v>
      </c>
      <c r="AB397">
        <f t="shared" si="53"/>
        <v>1800</v>
      </c>
      <c r="AC397" s="8">
        <f t="shared" si="54"/>
        <v>0.41536001329152039</v>
      </c>
      <c r="AD397" t="s">
        <v>102</v>
      </c>
      <c r="AE397" t="s">
        <v>68</v>
      </c>
      <c r="AF397" t="str">
        <f t="shared" si="55"/>
        <v>Perfect Match</v>
      </c>
    </row>
    <row r="398" spans="1:32">
      <c r="A398" t="str">
        <f>IF(OR(I398&lt;0, ISTEXT(W398), ISTEXT(Y398)), "Invalid", IF(OR(B398="Conflicting Duplicate", M398="Unknown", S398="Unknown"), "Warning", "Valid"))</f>
        <v>Valid</v>
      </c>
      <c r="B398" t="str">
        <f t="shared" si="49"/>
        <v>-</v>
      </c>
      <c r="C398" t="s">
        <v>2273</v>
      </c>
      <c r="D398" s="2">
        <v>45332</v>
      </c>
      <c r="E398" t="str">
        <f t="shared" si="50"/>
        <v>February</v>
      </c>
      <c r="F398">
        <f t="shared" si="51"/>
        <v>2024</v>
      </c>
      <c r="G398" s="2">
        <v>45338</v>
      </c>
      <c r="H398" t="s">
        <v>2274</v>
      </c>
      <c r="I398">
        <f t="shared" si="52"/>
        <v>6</v>
      </c>
      <c r="J398" t="s">
        <v>2795</v>
      </c>
      <c r="K398" t="s">
        <v>23</v>
      </c>
      <c r="L398" t="s">
        <v>24</v>
      </c>
      <c r="M398" t="s">
        <v>63</v>
      </c>
      <c r="N398" t="s">
        <v>190</v>
      </c>
      <c r="O398" t="s">
        <v>191</v>
      </c>
      <c r="P398" t="s">
        <v>41</v>
      </c>
      <c r="Q398" t="s">
        <v>57</v>
      </c>
      <c r="R398" t="s">
        <v>2275</v>
      </c>
      <c r="S398" t="s">
        <v>31</v>
      </c>
      <c r="T398">
        <v>3</v>
      </c>
      <c r="U398">
        <v>253.43</v>
      </c>
      <c r="V398">
        <v>0</v>
      </c>
      <c r="W398">
        <v>0</v>
      </c>
      <c r="X398">
        <v>760.29</v>
      </c>
      <c r="Y398">
        <f t="shared" si="48"/>
        <v>760.29</v>
      </c>
      <c r="Z398">
        <v>497.77</v>
      </c>
      <c r="AA398">
        <v>262.52</v>
      </c>
      <c r="AB398">
        <f t="shared" si="53"/>
        <v>262.52</v>
      </c>
      <c r="AC398" s="8">
        <f t="shared" si="54"/>
        <v>0.34528929750489945</v>
      </c>
      <c r="AD398" t="s">
        <v>32</v>
      </c>
      <c r="AE398" t="s">
        <v>33</v>
      </c>
      <c r="AF398" t="str">
        <f t="shared" si="55"/>
        <v>Perfect Match</v>
      </c>
    </row>
    <row r="399" spans="1:32">
      <c r="A399" t="str">
        <f>IF(OR(I399&lt;0, ISTEXT(W399), ISTEXT(Y399)), "Invalid", IF(OR(B399="Conflicting Duplicate", M399="Unknown", S399="Unknown"), "Warning", "Valid"))</f>
        <v>Valid</v>
      </c>
      <c r="B399" t="str">
        <f t="shared" si="49"/>
        <v>-</v>
      </c>
      <c r="C399" t="s">
        <v>2279</v>
      </c>
      <c r="D399" s="2">
        <v>45308</v>
      </c>
      <c r="E399" t="str">
        <f t="shared" si="50"/>
        <v>January</v>
      </c>
      <c r="F399">
        <f t="shared" si="51"/>
        <v>2024</v>
      </c>
      <c r="G399" s="2">
        <v>45314</v>
      </c>
      <c r="H399" t="s">
        <v>2280</v>
      </c>
      <c r="I399">
        <f t="shared" si="52"/>
        <v>6</v>
      </c>
      <c r="J399" t="s">
        <v>2795</v>
      </c>
      <c r="K399" t="s">
        <v>264</v>
      </c>
      <c r="L399" t="s">
        <v>95</v>
      </c>
      <c r="M399" t="s">
        <v>63</v>
      </c>
      <c r="N399" t="s">
        <v>180</v>
      </c>
      <c r="O399" t="s">
        <v>181</v>
      </c>
      <c r="P399" t="s">
        <v>74</v>
      </c>
      <c r="Q399" t="s">
        <v>171</v>
      </c>
      <c r="R399" t="s">
        <v>2281</v>
      </c>
      <c r="S399" t="s">
        <v>59</v>
      </c>
      <c r="T399">
        <v>5</v>
      </c>
      <c r="U399">
        <v>2018</v>
      </c>
      <c r="V399">
        <v>0.2</v>
      </c>
      <c r="W399">
        <v>0.2</v>
      </c>
      <c r="X399">
        <v>8072</v>
      </c>
      <c r="Y399">
        <f t="shared" si="48"/>
        <v>8072</v>
      </c>
      <c r="Z399">
        <v>5379.22</v>
      </c>
      <c r="AA399">
        <v>2692.78</v>
      </c>
      <c r="AB399">
        <f t="shared" si="53"/>
        <v>2692.7799999999997</v>
      </c>
      <c r="AC399" s="8">
        <f t="shared" si="54"/>
        <v>0.33359514370664023</v>
      </c>
      <c r="AD399" t="s">
        <v>111</v>
      </c>
      <c r="AE399" t="s">
        <v>103</v>
      </c>
      <c r="AF399" t="str">
        <f t="shared" si="55"/>
        <v>Perfect Match</v>
      </c>
    </row>
    <row r="400" spans="1:32">
      <c r="A400" t="str">
        <f>IF(OR(I400&lt;0, ISTEXT(W400), ISTEXT(Y400)), "Invalid", IF(OR(B400="Conflicting Duplicate", M400="Unknown", S400="Unknown"), "Warning", "Valid"))</f>
        <v>Valid</v>
      </c>
      <c r="B400" t="str">
        <f t="shared" si="49"/>
        <v>-</v>
      </c>
      <c r="C400" t="s">
        <v>2282</v>
      </c>
      <c r="D400" s="2">
        <v>45578</v>
      </c>
      <c r="E400" t="str">
        <f t="shared" si="50"/>
        <v>October</v>
      </c>
      <c r="F400">
        <f t="shared" si="51"/>
        <v>2024</v>
      </c>
      <c r="G400" s="2">
        <v>45578</v>
      </c>
      <c r="H400" t="s">
        <v>2283</v>
      </c>
      <c r="I400">
        <f t="shared" si="52"/>
        <v>0</v>
      </c>
      <c r="J400" t="s">
        <v>2795</v>
      </c>
      <c r="K400" t="s">
        <v>128</v>
      </c>
      <c r="L400" t="s">
        <v>37</v>
      </c>
      <c r="M400" t="s">
        <v>38</v>
      </c>
      <c r="N400" t="s">
        <v>166</v>
      </c>
      <c r="O400" t="s">
        <v>167</v>
      </c>
      <c r="P400" t="s">
        <v>74</v>
      </c>
      <c r="Q400" t="s">
        <v>75</v>
      </c>
      <c r="R400" t="s">
        <v>2284</v>
      </c>
      <c r="S400" t="s">
        <v>31</v>
      </c>
      <c r="T400">
        <v>8</v>
      </c>
      <c r="U400">
        <v>3730.66</v>
      </c>
      <c r="V400">
        <v>0.05</v>
      </c>
      <c r="W400">
        <v>0.05</v>
      </c>
      <c r="X400">
        <v>28353.02</v>
      </c>
      <c r="Y400">
        <f t="shared" si="48"/>
        <v>28353.02</v>
      </c>
      <c r="Z400">
        <v>19257.849999999999</v>
      </c>
      <c r="AA400">
        <v>9095.17</v>
      </c>
      <c r="AB400">
        <f t="shared" si="53"/>
        <v>9095.1700000000019</v>
      </c>
      <c r="AC400" s="8">
        <f t="shared" si="54"/>
        <v>0.32078311234570434</v>
      </c>
      <c r="AD400" t="s">
        <v>32</v>
      </c>
      <c r="AE400" t="s">
        <v>33</v>
      </c>
      <c r="AF400" t="str">
        <f t="shared" si="55"/>
        <v>Perfect Match</v>
      </c>
    </row>
    <row r="401" spans="1:32">
      <c r="A401" t="str">
        <f>IF(OR(I401&lt;0, ISTEXT(W401), ISTEXT(Y401)), "Invalid", IF(OR(B401="Conflicting Duplicate", M401="Unknown", S401="Unknown"), "Warning", "Valid"))</f>
        <v>Valid</v>
      </c>
      <c r="B401" t="str">
        <f t="shared" si="49"/>
        <v>-</v>
      </c>
      <c r="C401" t="s">
        <v>2285</v>
      </c>
      <c r="D401" s="2">
        <v>45295</v>
      </c>
      <c r="E401" t="str">
        <f t="shared" si="50"/>
        <v>January</v>
      </c>
      <c r="F401">
        <f t="shared" si="51"/>
        <v>2024</v>
      </c>
      <c r="G401" s="2">
        <v>45474</v>
      </c>
      <c r="H401" t="s">
        <v>2286</v>
      </c>
      <c r="I401">
        <f t="shared" si="52"/>
        <v>179</v>
      </c>
      <c r="J401" t="s">
        <v>2795</v>
      </c>
      <c r="K401" t="s">
        <v>132</v>
      </c>
      <c r="L401" t="s">
        <v>37</v>
      </c>
      <c r="M401" t="s">
        <v>54</v>
      </c>
      <c r="N401" t="s">
        <v>175</v>
      </c>
      <c r="O401" t="s">
        <v>176</v>
      </c>
      <c r="P401" t="s">
        <v>74</v>
      </c>
      <c r="Q401" t="s">
        <v>274</v>
      </c>
      <c r="R401" t="s">
        <v>2287</v>
      </c>
      <c r="S401" t="s">
        <v>50</v>
      </c>
      <c r="T401">
        <v>1</v>
      </c>
      <c r="U401">
        <v>2363.02</v>
      </c>
      <c r="V401">
        <v>0.15</v>
      </c>
      <c r="W401">
        <v>0.15</v>
      </c>
      <c r="X401">
        <v>2008.57</v>
      </c>
      <c r="Y401">
        <f t="shared" si="48"/>
        <v>2008.57</v>
      </c>
      <c r="Z401">
        <v>1194.83</v>
      </c>
      <c r="AA401">
        <v>813.74</v>
      </c>
      <c r="AB401">
        <f t="shared" si="53"/>
        <v>813.74</v>
      </c>
      <c r="AC401" s="8">
        <f t="shared" si="54"/>
        <v>0.40513400080654399</v>
      </c>
      <c r="AD401" t="s">
        <v>32</v>
      </c>
      <c r="AE401" t="s">
        <v>33</v>
      </c>
      <c r="AF401" t="str">
        <f t="shared" si="55"/>
        <v>Perfect Match</v>
      </c>
    </row>
    <row r="402" spans="1:32">
      <c r="A402" t="str">
        <f>IF(OR(I402&lt;0, ISTEXT(W402), ISTEXT(Y402)), "Invalid", IF(OR(B402="Conflicting Duplicate", M402="Unknown", S402="Unknown"), "Warning", "Valid"))</f>
        <v>Valid</v>
      </c>
      <c r="B402" t="str">
        <f t="shared" si="49"/>
        <v>-</v>
      </c>
      <c r="C402" t="s">
        <v>2294</v>
      </c>
      <c r="D402" s="2">
        <v>45368</v>
      </c>
      <c r="E402" t="str">
        <f t="shared" si="50"/>
        <v>March</v>
      </c>
      <c r="F402">
        <f t="shared" si="51"/>
        <v>2024</v>
      </c>
      <c r="G402" s="2">
        <v>45370</v>
      </c>
      <c r="H402" t="s">
        <v>2295</v>
      </c>
      <c r="I402">
        <f t="shared" si="52"/>
        <v>2</v>
      </c>
      <c r="J402" t="s">
        <v>2795</v>
      </c>
      <c r="K402" t="s">
        <v>62</v>
      </c>
      <c r="L402" t="s">
        <v>90</v>
      </c>
      <c r="M402" t="s">
        <v>38</v>
      </c>
      <c r="N402" t="s">
        <v>39</v>
      </c>
      <c r="O402" t="s">
        <v>40</v>
      </c>
      <c r="P402" t="s">
        <v>28</v>
      </c>
      <c r="Q402" t="s">
        <v>153</v>
      </c>
      <c r="R402" t="s">
        <v>2296</v>
      </c>
      <c r="S402" t="s">
        <v>50</v>
      </c>
      <c r="T402">
        <v>4</v>
      </c>
      <c r="U402">
        <v>4376.68</v>
      </c>
      <c r="V402">
        <v>0.1</v>
      </c>
      <c r="W402">
        <v>0.1</v>
      </c>
      <c r="X402">
        <v>15756.05</v>
      </c>
      <c r="Y402">
        <f t="shared" si="48"/>
        <v>15756.05</v>
      </c>
      <c r="Z402">
        <v>10245.44</v>
      </c>
      <c r="AA402">
        <v>5510.61</v>
      </c>
      <c r="AB402">
        <f t="shared" si="53"/>
        <v>5510.6099999999988</v>
      </c>
      <c r="AC402" s="8">
        <f t="shared" si="54"/>
        <v>0.3497456532570028</v>
      </c>
      <c r="AD402" t="s">
        <v>32</v>
      </c>
      <c r="AE402" t="s">
        <v>33</v>
      </c>
      <c r="AF402" t="str">
        <f t="shared" si="55"/>
        <v>Perfect Match</v>
      </c>
    </row>
    <row r="403" spans="1:32">
      <c r="A403" t="str">
        <f>IF(OR(I403&lt;0, ISTEXT(W403), ISTEXT(Y403)), "Invalid", IF(OR(B403="Conflicting Duplicate", M403="Unknown", S403="Unknown"), "Warning", "Valid"))</f>
        <v>Valid</v>
      </c>
      <c r="B403" t="str">
        <f t="shared" si="49"/>
        <v>-</v>
      </c>
      <c r="C403" t="s">
        <v>2297</v>
      </c>
      <c r="D403" s="2">
        <v>45624</v>
      </c>
      <c r="E403" t="str">
        <f t="shared" si="50"/>
        <v>November</v>
      </c>
      <c r="F403">
        <f t="shared" si="51"/>
        <v>2024</v>
      </c>
      <c r="G403" s="2">
        <v>45632</v>
      </c>
      <c r="H403" t="s">
        <v>2298</v>
      </c>
      <c r="I403">
        <f t="shared" si="52"/>
        <v>8</v>
      </c>
      <c r="J403" t="s">
        <v>2795</v>
      </c>
      <c r="K403" t="s">
        <v>53</v>
      </c>
      <c r="L403" t="s">
        <v>37</v>
      </c>
      <c r="M403" t="s">
        <v>25</v>
      </c>
      <c r="N403" t="s">
        <v>122</v>
      </c>
      <c r="O403" t="s">
        <v>123</v>
      </c>
      <c r="P403" t="s">
        <v>74</v>
      </c>
      <c r="Q403" t="s">
        <v>171</v>
      </c>
      <c r="R403" t="s">
        <v>2299</v>
      </c>
      <c r="S403" t="s">
        <v>59</v>
      </c>
      <c r="T403">
        <v>6</v>
      </c>
      <c r="U403">
        <v>2464.63</v>
      </c>
      <c r="V403">
        <v>0</v>
      </c>
      <c r="W403">
        <v>0</v>
      </c>
      <c r="X403">
        <v>14787.78</v>
      </c>
      <c r="Y403">
        <f t="shared" si="48"/>
        <v>14787.78</v>
      </c>
      <c r="Z403">
        <v>8596.65</v>
      </c>
      <c r="AA403">
        <v>6191.13</v>
      </c>
      <c r="AB403">
        <f t="shared" si="53"/>
        <v>6191.130000000001</v>
      </c>
      <c r="AC403" s="8">
        <f t="shared" si="54"/>
        <v>0.41866527632950995</v>
      </c>
      <c r="AD403" t="s">
        <v>32</v>
      </c>
      <c r="AE403" t="s">
        <v>33</v>
      </c>
      <c r="AF403" t="str">
        <f t="shared" si="55"/>
        <v>Perfect Match</v>
      </c>
    </row>
    <row r="404" spans="1:32">
      <c r="A404" t="str">
        <f>IF(OR(I404&lt;0, ISTEXT(W404), ISTEXT(Y404)), "Invalid", IF(OR(B404="Conflicting Duplicate", M404="Unknown", S404="Unknown"), "Warning", "Valid"))</f>
        <v>Valid</v>
      </c>
      <c r="B404" t="str">
        <f t="shared" si="49"/>
        <v>-</v>
      </c>
      <c r="C404" t="s">
        <v>2300</v>
      </c>
      <c r="D404" s="2">
        <v>45464</v>
      </c>
      <c r="E404" t="str">
        <f t="shared" si="50"/>
        <v>June</v>
      </c>
      <c r="F404">
        <f t="shared" si="51"/>
        <v>2024</v>
      </c>
      <c r="G404" s="2">
        <v>45471</v>
      </c>
      <c r="H404" t="s">
        <v>2301</v>
      </c>
      <c r="I404">
        <f t="shared" si="52"/>
        <v>7</v>
      </c>
      <c r="J404" t="s">
        <v>2795</v>
      </c>
      <c r="K404" t="s">
        <v>128</v>
      </c>
      <c r="L404" t="s">
        <v>95</v>
      </c>
      <c r="M404" t="s">
        <v>25</v>
      </c>
      <c r="N404" t="s">
        <v>26</v>
      </c>
      <c r="O404" t="s">
        <v>27</v>
      </c>
      <c r="P404" t="s">
        <v>41</v>
      </c>
      <c r="Q404" t="s">
        <v>57</v>
      </c>
      <c r="R404" t="s">
        <v>2302</v>
      </c>
      <c r="S404" t="s">
        <v>50</v>
      </c>
      <c r="T404">
        <v>9</v>
      </c>
      <c r="U404">
        <v>2797.96</v>
      </c>
      <c r="V404">
        <v>0</v>
      </c>
      <c r="W404">
        <v>0</v>
      </c>
      <c r="X404">
        <v>25181.64</v>
      </c>
      <c r="Y404">
        <f t="shared" si="48"/>
        <v>25181.64</v>
      </c>
      <c r="Z404">
        <v>15337.9</v>
      </c>
      <c r="AA404">
        <v>9843.74</v>
      </c>
      <c r="AB404">
        <f t="shared" si="53"/>
        <v>9843.74</v>
      </c>
      <c r="AC404" s="8">
        <f t="shared" si="54"/>
        <v>0.39090940860086953</v>
      </c>
      <c r="AD404" t="s">
        <v>32</v>
      </c>
      <c r="AE404" t="s">
        <v>33</v>
      </c>
      <c r="AF404" t="str">
        <f t="shared" si="55"/>
        <v>Perfect Match</v>
      </c>
    </row>
    <row r="405" spans="1:32">
      <c r="A405" t="str">
        <f>IF(OR(I405&lt;0, ISTEXT(W405), ISTEXT(Y405)), "Invalid", IF(OR(B405="Conflicting Duplicate", M405="Unknown", S405="Unknown"), "Warning", "Valid"))</f>
        <v>Valid</v>
      </c>
      <c r="B405" t="str">
        <f t="shared" si="49"/>
        <v>-</v>
      </c>
      <c r="C405" t="s">
        <v>2303</v>
      </c>
      <c r="D405" s="2">
        <v>45528</v>
      </c>
      <c r="E405" t="str">
        <f t="shared" si="50"/>
        <v>August</v>
      </c>
      <c r="F405">
        <f t="shared" si="51"/>
        <v>2024</v>
      </c>
      <c r="G405" s="2">
        <v>45528</v>
      </c>
      <c r="H405" t="s">
        <v>2304</v>
      </c>
      <c r="I405">
        <f t="shared" si="52"/>
        <v>0</v>
      </c>
      <c r="J405" t="s">
        <v>2795</v>
      </c>
      <c r="K405" t="s">
        <v>62</v>
      </c>
      <c r="L405" t="s">
        <v>37</v>
      </c>
      <c r="M405" t="s">
        <v>25</v>
      </c>
      <c r="N405" t="s">
        <v>26</v>
      </c>
      <c r="O405" t="s">
        <v>27</v>
      </c>
      <c r="P405" t="s">
        <v>74</v>
      </c>
      <c r="Q405" t="s">
        <v>75</v>
      </c>
      <c r="R405" t="s">
        <v>2305</v>
      </c>
      <c r="S405" t="s">
        <v>50</v>
      </c>
      <c r="T405">
        <v>4</v>
      </c>
      <c r="U405">
        <v>2761.86</v>
      </c>
      <c r="V405">
        <v>0.2</v>
      </c>
      <c r="W405">
        <v>0.2</v>
      </c>
      <c r="X405">
        <v>8837.9500000000007</v>
      </c>
      <c r="Y405">
        <f t="shared" si="48"/>
        <v>8837.9500000000007</v>
      </c>
      <c r="Z405">
        <v>6157.27</v>
      </c>
      <c r="AA405">
        <v>2680.68</v>
      </c>
      <c r="AB405">
        <f t="shared" si="53"/>
        <v>2680.6800000000003</v>
      </c>
      <c r="AC405" s="8">
        <f t="shared" si="54"/>
        <v>0.30331468270356815</v>
      </c>
      <c r="AD405" t="s">
        <v>32</v>
      </c>
      <c r="AE405" t="s">
        <v>33</v>
      </c>
      <c r="AF405" t="str">
        <f t="shared" si="55"/>
        <v>Perfect Match</v>
      </c>
    </row>
    <row r="406" spans="1:32">
      <c r="A406" t="str">
        <f>IF(OR(I406&lt;0, ISTEXT(W406), ISTEXT(Y406)), "Invalid", IF(OR(B406="Conflicting Duplicate", M406="Unknown", S406="Unknown"), "Warning", "Valid"))</f>
        <v>Valid</v>
      </c>
      <c r="B406" t="str">
        <f t="shared" si="49"/>
        <v>-</v>
      </c>
      <c r="C406" t="s">
        <v>2306</v>
      </c>
      <c r="D406" s="2">
        <v>45515</v>
      </c>
      <c r="E406" t="str">
        <f t="shared" si="50"/>
        <v>August</v>
      </c>
      <c r="F406">
        <f t="shared" si="51"/>
        <v>2024</v>
      </c>
      <c r="G406" s="2">
        <v>45523</v>
      </c>
      <c r="H406" t="s">
        <v>2307</v>
      </c>
      <c r="I406">
        <f t="shared" si="52"/>
        <v>8</v>
      </c>
      <c r="J406" t="s">
        <v>2795</v>
      </c>
      <c r="K406" t="s">
        <v>36</v>
      </c>
      <c r="L406" t="s">
        <v>24</v>
      </c>
      <c r="M406" t="s">
        <v>63</v>
      </c>
      <c r="N406" t="s">
        <v>64</v>
      </c>
      <c r="O406" t="s">
        <v>65</v>
      </c>
      <c r="P406" t="s">
        <v>41</v>
      </c>
      <c r="Q406" t="s">
        <v>42</v>
      </c>
      <c r="R406" t="s">
        <v>2308</v>
      </c>
      <c r="S406" t="s">
        <v>59</v>
      </c>
      <c r="T406">
        <v>6</v>
      </c>
      <c r="U406">
        <v>1515.79</v>
      </c>
      <c r="V406">
        <v>0.2</v>
      </c>
      <c r="W406">
        <v>0.2</v>
      </c>
      <c r="X406">
        <v>7275.79</v>
      </c>
      <c r="Y406">
        <f t="shared" si="48"/>
        <v>7275.79</v>
      </c>
      <c r="Z406">
        <v>6152.87</v>
      </c>
      <c r="AA406">
        <v>1122.92</v>
      </c>
      <c r="AB406">
        <f t="shared" si="53"/>
        <v>1122.92</v>
      </c>
      <c r="AC406" s="8">
        <f t="shared" si="54"/>
        <v>0.15433650503931534</v>
      </c>
      <c r="AD406" t="s">
        <v>32</v>
      </c>
      <c r="AE406" t="s">
        <v>33</v>
      </c>
      <c r="AF406" t="str">
        <f t="shared" si="55"/>
        <v>Perfect Match</v>
      </c>
    </row>
    <row r="407" spans="1:32">
      <c r="A407" s="6" t="str">
        <f>IF(OR(I407&lt;0, ISTEXT(W407), ISTEXT(Y407)), "Invalid", IF(OR(B407="Conflicting Duplicate", M407="Unknown", S407="Unknown"), "Warning", "Valid"))</f>
        <v>Invalid</v>
      </c>
      <c r="B407" t="str">
        <f t="shared" si="49"/>
        <v>-</v>
      </c>
      <c r="C407" t="s">
        <v>2309</v>
      </c>
      <c r="D407" s="2">
        <v>45632</v>
      </c>
      <c r="E407" t="str">
        <f t="shared" si="50"/>
        <v>December</v>
      </c>
      <c r="F407">
        <f t="shared" si="51"/>
        <v>2024</v>
      </c>
      <c r="G407" s="2">
        <v>45547</v>
      </c>
      <c r="H407" t="s">
        <v>2310</v>
      </c>
      <c r="I407" s="7">
        <f t="shared" si="52"/>
        <v>-85</v>
      </c>
      <c r="J407" s="7" t="s">
        <v>2802</v>
      </c>
      <c r="K407" t="s">
        <v>89</v>
      </c>
      <c r="L407" t="s">
        <v>24</v>
      </c>
      <c r="M407" t="s">
        <v>63</v>
      </c>
      <c r="N407" t="s">
        <v>64</v>
      </c>
      <c r="O407" t="s">
        <v>65</v>
      </c>
      <c r="P407" t="s">
        <v>41</v>
      </c>
      <c r="Q407" t="s">
        <v>66</v>
      </c>
      <c r="R407" t="s">
        <v>2311</v>
      </c>
      <c r="S407" t="s">
        <v>31</v>
      </c>
      <c r="T407">
        <v>9</v>
      </c>
      <c r="U407">
        <v>290.75</v>
      </c>
      <c r="V407">
        <v>0.1</v>
      </c>
      <c r="W407">
        <v>0.1</v>
      </c>
      <c r="X407">
        <v>2355.08</v>
      </c>
      <c r="Y407">
        <f t="shared" si="48"/>
        <v>2355.08</v>
      </c>
      <c r="Z407">
        <v>1350.03</v>
      </c>
      <c r="AA407">
        <v>1005.05</v>
      </c>
      <c r="AB407">
        <f t="shared" si="53"/>
        <v>1005.05</v>
      </c>
      <c r="AC407" s="8">
        <f t="shared" si="54"/>
        <v>0.42675832668104691</v>
      </c>
      <c r="AD407" t="s">
        <v>32</v>
      </c>
      <c r="AE407" t="s">
        <v>33</v>
      </c>
      <c r="AF407" t="str">
        <f t="shared" si="55"/>
        <v>Perfect Match</v>
      </c>
    </row>
    <row r="408" spans="1:32">
      <c r="A408" t="str">
        <f>IF(OR(I408&lt;0, ISTEXT(W408), ISTEXT(Y408)), "Invalid", IF(OR(B408="Conflicting Duplicate", M408="Unknown", S408="Unknown"), "Warning", "Valid"))</f>
        <v>Valid</v>
      </c>
      <c r="B408" t="str">
        <f t="shared" si="49"/>
        <v>-</v>
      </c>
      <c r="C408" t="s">
        <v>2312</v>
      </c>
      <c r="D408" s="2">
        <v>45332</v>
      </c>
      <c r="E408" t="str">
        <f t="shared" si="50"/>
        <v>February</v>
      </c>
      <c r="F408">
        <f t="shared" si="51"/>
        <v>2024</v>
      </c>
      <c r="G408" s="2">
        <v>45332</v>
      </c>
      <c r="H408" t="s">
        <v>2313</v>
      </c>
      <c r="I408">
        <f t="shared" si="52"/>
        <v>0</v>
      </c>
      <c r="J408" t="s">
        <v>2795</v>
      </c>
      <c r="K408" t="s">
        <v>47</v>
      </c>
      <c r="L408" t="s">
        <v>95</v>
      </c>
      <c r="M408" t="s">
        <v>63</v>
      </c>
      <c r="N408" t="s">
        <v>64</v>
      </c>
      <c r="O408" t="s">
        <v>65</v>
      </c>
      <c r="P408" t="s">
        <v>41</v>
      </c>
      <c r="Q408" t="s">
        <v>66</v>
      </c>
      <c r="R408" t="s">
        <v>2314</v>
      </c>
      <c r="S408" t="s">
        <v>44</v>
      </c>
      <c r="T408">
        <v>6</v>
      </c>
      <c r="U408">
        <v>601.52</v>
      </c>
      <c r="V408">
        <v>0</v>
      </c>
      <c r="W408">
        <v>0</v>
      </c>
      <c r="X408">
        <v>3609.12</v>
      </c>
      <c r="Y408">
        <f t="shared" si="48"/>
        <v>3609.12</v>
      </c>
      <c r="Z408">
        <v>2645.5</v>
      </c>
      <c r="AA408">
        <v>963.62</v>
      </c>
      <c r="AB408">
        <f t="shared" si="53"/>
        <v>963.61999999999989</v>
      </c>
      <c r="AC408" s="8">
        <f t="shared" si="54"/>
        <v>0.2669958327791816</v>
      </c>
      <c r="AD408" t="s">
        <v>32</v>
      </c>
      <c r="AE408" t="s">
        <v>33</v>
      </c>
      <c r="AF408" t="str">
        <f t="shared" si="55"/>
        <v>Perfect Match</v>
      </c>
    </row>
    <row r="409" spans="1:32">
      <c r="A409" t="str">
        <f>IF(OR(I409&lt;0, ISTEXT(W409), ISTEXT(Y409)), "Invalid", IF(OR(B409="Conflicting Duplicate", M409="Unknown", S409="Unknown"), "Warning", "Valid"))</f>
        <v>Valid</v>
      </c>
      <c r="B409" t="str">
        <f t="shared" si="49"/>
        <v>-</v>
      </c>
      <c r="C409" t="s">
        <v>2318</v>
      </c>
      <c r="D409" s="2">
        <v>45629</v>
      </c>
      <c r="E409" t="str">
        <f t="shared" si="50"/>
        <v>December</v>
      </c>
      <c r="F409">
        <f t="shared" si="51"/>
        <v>2024</v>
      </c>
      <c r="G409" s="2">
        <v>45636</v>
      </c>
      <c r="H409" t="s">
        <v>2319</v>
      </c>
      <c r="I409">
        <f t="shared" si="52"/>
        <v>7</v>
      </c>
      <c r="J409" t="s">
        <v>2795</v>
      </c>
      <c r="K409" t="s">
        <v>79</v>
      </c>
      <c r="L409" t="s">
        <v>90</v>
      </c>
      <c r="M409" t="s">
        <v>25</v>
      </c>
      <c r="N409" t="s">
        <v>26</v>
      </c>
      <c r="O409" t="s">
        <v>27</v>
      </c>
      <c r="P409" t="s">
        <v>74</v>
      </c>
      <c r="Q409" t="s">
        <v>171</v>
      </c>
      <c r="R409" t="s">
        <v>2320</v>
      </c>
      <c r="S409" t="s">
        <v>59</v>
      </c>
      <c r="T409">
        <v>5</v>
      </c>
      <c r="U409">
        <v>2393.86</v>
      </c>
      <c r="V409">
        <v>0.05</v>
      </c>
      <c r="W409">
        <v>0.05</v>
      </c>
      <c r="X409">
        <v>11370.84</v>
      </c>
      <c r="Y409">
        <f t="shared" si="48"/>
        <v>11370.84</v>
      </c>
      <c r="Z409">
        <v>7469.58</v>
      </c>
      <c r="AA409">
        <v>3901.26</v>
      </c>
      <c r="AB409">
        <f t="shared" si="53"/>
        <v>3901.26</v>
      </c>
      <c r="AC409" s="8">
        <f t="shared" si="54"/>
        <v>0.34309338624059438</v>
      </c>
      <c r="AD409" t="s">
        <v>32</v>
      </c>
      <c r="AE409" t="s">
        <v>33</v>
      </c>
      <c r="AF409" t="str">
        <f t="shared" si="55"/>
        <v>Perfect Match</v>
      </c>
    </row>
    <row r="410" spans="1:32">
      <c r="A410" t="str">
        <f>IF(OR(I410&lt;0, ISTEXT(W410), ISTEXT(Y410)), "Invalid", IF(OR(B410="Conflicting Duplicate", M410="Unknown", S410="Unknown"), "Warning", "Valid"))</f>
        <v>Valid</v>
      </c>
      <c r="B410" t="str">
        <f t="shared" si="49"/>
        <v>-</v>
      </c>
      <c r="C410" t="s">
        <v>2321</v>
      </c>
      <c r="D410" s="2">
        <v>45384</v>
      </c>
      <c r="E410" t="str">
        <f t="shared" si="50"/>
        <v>April</v>
      </c>
      <c r="F410">
        <f t="shared" si="51"/>
        <v>2024</v>
      </c>
      <c r="G410" s="2">
        <v>45384</v>
      </c>
      <c r="H410" t="s">
        <v>523</v>
      </c>
      <c r="I410">
        <f t="shared" si="52"/>
        <v>0</v>
      </c>
      <c r="J410" t="s">
        <v>2795</v>
      </c>
      <c r="K410" t="s">
        <v>132</v>
      </c>
      <c r="L410" t="s">
        <v>37</v>
      </c>
      <c r="M410" t="s">
        <v>63</v>
      </c>
      <c r="N410" t="s">
        <v>64</v>
      </c>
      <c r="O410" t="s">
        <v>65</v>
      </c>
      <c r="P410" t="s">
        <v>41</v>
      </c>
      <c r="Q410" t="s">
        <v>66</v>
      </c>
      <c r="R410" t="s">
        <v>2322</v>
      </c>
      <c r="S410" t="s">
        <v>50</v>
      </c>
      <c r="T410">
        <v>4</v>
      </c>
      <c r="U410">
        <v>2583</v>
      </c>
      <c r="V410">
        <v>0.1</v>
      </c>
      <c r="W410">
        <v>0.1</v>
      </c>
      <c r="X410">
        <v>9298.7999999999993</v>
      </c>
      <c r="Y410">
        <f t="shared" si="48"/>
        <v>9298.7999999999993</v>
      </c>
      <c r="Z410">
        <v>6548.5</v>
      </c>
      <c r="AA410">
        <v>2750.3</v>
      </c>
      <c r="AB410">
        <f t="shared" si="53"/>
        <v>2750.2999999999993</v>
      </c>
      <c r="AC410" s="8">
        <f t="shared" si="54"/>
        <v>0.29576934658235465</v>
      </c>
      <c r="AD410" t="s">
        <v>32</v>
      </c>
      <c r="AE410" t="s">
        <v>33</v>
      </c>
      <c r="AF410" t="str">
        <f t="shared" si="55"/>
        <v>Perfect Match</v>
      </c>
    </row>
    <row r="411" spans="1:32">
      <c r="A411" t="str">
        <f>IF(OR(I411&lt;0, ISTEXT(W411), ISTEXT(Y411)), "Invalid", IF(OR(B411="Conflicting Duplicate", M411="Unknown", S411="Unknown"), "Warning", "Valid"))</f>
        <v>Valid</v>
      </c>
      <c r="B411" t="str">
        <f t="shared" si="49"/>
        <v>-</v>
      </c>
      <c r="C411" t="s">
        <v>2326</v>
      </c>
      <c r="D411" s="2">
        <v>45580</v>
      </c>
      <c r="E411" t="str">
        <f t="shared" si="50"/>
        <v>October</v>
      </c>
      <c r="F411">
        <f t="shared" si="51"/>
        <v>2024</v>
      </c>
      <c r="G411" s="2">
        <v>45587</v>
      </c>
      <c r="H411" t="s">
        <v>2327</v>
      </c>
      <c r="I411">
        <f t="shared" si="52"/>
        <v>7</v>
      </c>
      <c r="J411" t="s">
        <v>2795</v>
      </c>
      <c r="K411" t="s">
        <v>23</v>
      </c>
      <c r="L411" t="s">
        <v>90</v>
      </c>
      <c r="M411" t="s">
        <v>2328</v>
      </c>
      <c r="N411" t="s">
        <v>39</v>
      </c>
      <c r="O411" t="s">
        <v>40</v>
      </c>
      <c r="P411" t="s">
        <v>28</v>
      </c>
      <c r="Q411" t="s">
        <v>29</v>
      </c>
      <c r="R411" t="s">
        <v>2329</v>
      </c>
      <c r="S411" t="s">
        <v>59</v>
      </c>
      <c r="T411">
        <v>4</v>
      </c>
      <c r="U411">
        <v>2260.9499999999998</v>
      </c>
      <c r="V411">
        <v>0</v>
      </c>
      <c r="W411">
        <v>0</v>
      </c>
      <c r="X411">
        <v>9043.7999999999993</v>
      </c>
      <c r="Y411">
        <f t="shared" si="48"/>
        <v>9043.7999999999993</v>
      </c>
      <c r="Z411">
        <v>5913.38</v>
      </c>
      <c r="AA411">
        <v>3130.42</v>
      </c>
      <c r="AB411">
        <f t="shared" si="53"/>
        <v>3130.4199999999992</v>
      </c>
      <c r="AC411" s="8">
        <f t="shared" si="54"/>
        <v>0.34613989694597397</v>
      </c>
      <c r="AD411" t="s">
        <v>32</v>
      </c>
      <c r="AE411" t="s">
        <v>33</v>
      </c>
      <c r="AF411" t="str">
        <f t="shared" si="55"/>
        <v>Perfect Match</v>
      </c>
    </row>
    <row r="412" spans="1:32">
      <c r="A412" t="str">
        <f>IF(OR(I412&lt;0, ISTEXT(W412), ISTEXT(Y412)), "Invalid", IF(OR(B412="Conflicting Duplicate", M412="Unknown", S412="Unknown"), "Warning", "Valid"))</f>
        <v>Valid</v>
      </c>
      <c r="B412" t="str">
        <f t="shared" si="49"/>
        <v>-</v>
      </c>
      <c r="C412" t="s">
        <v>2336</v>
      </c>
      <c r="D412" s="2">
        <v>45589</v>
      </c>
      <c r="E412" t="str">
        <f t="shared" si="50"/>
        <v>October</v>
      </c>
      <c r="F412">
        <f t="shared" si="51"/>
        <v>2024</v>
      </c>
      <c r="G412" s="2">
        <v>45593</v>
      </c>
      <c r="H412" t="s">
        <v>2337</v>
      </c>
      <c r="I412">
        <f t="shared" si="52"/>
        <v>4</v>
      </c>
      <c r="J412" t="s">
        <v>2795</v>
      </c>
      <c r="K412" t="s">
        <v>36</v>
      </c>
      <c r="L412" t="s">
        <v>37</v>
      </c>
      <c r="M412" t="s">
        <v>38</v>
      </c>
      <c r="N412" t="s">
        <v>166</v>
      </c>
      <c r="O412" t="s">
        <v>167</v>
      </c>
      <c r="P412" t="s">
        <v>74</v>
      </c>
      <c r="Q412" t="s">
        <v>80</v>
      </c>
      <c r="R412" t="s">
        <v>2338</v>
      </c>
      <c r="S412" t="s">
        <v>59</v>
      </c>
      <c r="T412">
        <v>3</v>
      </c>
      <c r="U412">
        <v>723.59</v>
      </c>
      <c r="V412">
        <v>0.2</v>
      </c>
      <c r="W412">
        <v>0.2</v>
      </c>
      <c r="X412">
        <v>1736.62</v>
      </c>
      <c r="Y412">
        <f t="shared" si="48"/>
        <v>1736.62</v>
      </c>
      <c r="Z412">
        <v>1059.52</v>
      </c>
      <c r="AA412">
        <v>677.1</v>
      </c>
      <c r="AB412">
        <f t="shared" si="53"/>
        <v>677.09999999999991</v>
      </c>
      <c r="AC412" s="8">
        <f t="shared" si="54"/>
        <v>0.38989531388559384</v>
      </c>
      <c r="AD412" t="s">
        <v>32</v>
      </c>
      <c r="AE412" t="s">
        <v>33</v>
      </c>
      <c r="AF412" t="str">
        <f t="shared" si="55"/>
        <v>Perfect Match</v>
      </c>
    </row>
    <row r="413" spans="1:32">
      <c r="A413" t="str">
        <f>IF(OR(I413&lt;0, ISTEXT(W413), ISTEXT(Y413)), "Invalid", IF(OR(B413="Conflicting Duplicate", M413="Unknown", S413="Unknown"), "Warning", "Valid"))</f>
        <v>Valid</v>
      </c>
      <c r="B413" t="str">
        <f t="shared" si="49"/>
        <v>-</v>
      </c>
      <c r="C413" t="s">
        <v>2341</v>
      </c>
      <c r="D413" s="2">
        <v>45413</v>
      </c>
      <c r="E413" t="str">
        <f t="shared" si="50"/>
        <v>May</v>
      </c>
      <c r="F413">
        <f t="shared" si="51"/>
        <v>2024</v>
      </c>
      <c r="G413" s="2">
        <v>45419</v>
      </c>
      <c r="H413" t="s">
        <v>2342</v>
      </c>
      <c r="I413">
        <f t="shared" si="52"/>
        <v>6</v>
      </c>
      <c r="J413" t="s">
        <v>2795</v>
      </c>
      <c r="K413" t="s">
        <v>47</v>
      </c>
      <c r="L413" t="s">
        <v>95</v>
      </c>
      <c r="M413" t="s">
        <v>38</v>
      </c>
      <c r="N413" t="s">
        <v>39</v>
      </c>
      <c r="O413" t="s">
        <v>40</v>
      </c>
      <c r="P413" t="s">
        <v>28</v>
      </c>
      <c r="Q413" t="s">
        <v>29</v>
      </c>
      <c r="R413" t="s">
        <v>2343</v>
      </c>
      <c r="S413" t="s">
        <v>44</v>
      </c>
      <c r="T413">
        <v>8</v>
      </c>
      <c r="U413">
        <v>1473.83</v>
      </c>
      <c r="V413">
        <v>0.15</v>
      </c>
      <c r="W413">
        <v>0.15</v>
      </c>
      <c r="X413">
        <v>10022.040000000001</v>
      </c>
      <c r="Y413">
        <f t="shared" si="48"/>
        <v>10022.040000000001</v>
      </c>
      <c r="Z413">
        <v>5576.98</v>
      </c>
      <c r="AA413">
        <v>4445.0600000000004</v>
      </c>
      <c r="AB413">
        <f t="shared" si="53"/>
        <v>4445.0600000000013</v>
      </c>
      <c r="AC413" s="8">
        <f t="shared" si="54"/>
        <v>0.44352846326695972</v>
      </c>
      <c r="AD413" t="s">
        <v>32</v>
      </c>
      <c r="AE413" t="s">
        <v>33</v>
      </c>
      <c r="AF413" t="str">
        <f t="shared" si="55"/>
        <v>Perfect Match</v>
      </c>
    </row>
    <row r="414" spans="1:32">
      <c r="A414" t="str">
        <f>IF(OR(I414&lt;0, ISTEXT(W414), ISTEXT(Y414)), "Invalid", IF(OR(B414="Conflicting Duplicate", M414="Unknown", S414="Unknown"), "Warning", "Valid"))</f>
        <v>Valid</v>
      </c>
      <c r="B414" t="str">
        <f t="shared" si="49"/>
        <v>-</v>
      </c>
      <c r="C414" t="s">
        <v>2344</v>
      </c>
      <c r="D414" s="2">
        <v>45442</v>
      </c>
      <c r="E414" t="str">
        <f t="shared" si="50"/>
        <v>May</v>
      </c>
      <c r="F414">
        <f t="shared" si="51"/>
        <v>2024</v>
      </c>
      <c r="G414" s="2">
        <v>45442</v>
      </c>
      <c r="H414" t="s">
        <v>2345</v>
      </c>
      <c r="I414">
        <f t="shared" si="52"/>
        <v>0</v>
      </c>
      <c r="J414" t="s">
        <v>2795</v>
      </c>
      <c r="K414" t="s">
        <v>162</v>
      </c>
      <c r="L414" t="s">
        <v>95</v>
      </c>
      <c r="M414" t="s">
        <v>25</v>
      </c>
      <c r="N414" t="s">
        <v>236</v>
      </c>
      <c r="O414" t="s">
        <v>237</v>
      </c>
      <c r="P414" t="s">
        <v>74</v>
      </c>
      <c r="Q414" t="s">
        <v>171</v>
      </c>
      <c r="R414" t="s">
        <v>2346</v>
      </c>
      <c r="S414" t="s">
        <v>31</v>
      </c>
      <c r="T414">
        <v>1</v>
      </c>
      <c r="U414">
        <v>3848.04</v>
      </c>
      <c r="V414">
        <v>0.25</v>
      </c>
      <c r="W414">
        <v>0.25</v>
      </c>
      <c r="X414">
        <v>2886.03</v>
      </c>
      <c r="Y414">
        <f t="shared" si="48"/>
        <v>2886.03</v>
      </c>
      <c r="Z414">
        <v>2064.83</v>
      </c>
      <c r="AA414">
        <v>821.2</v>
      </c>
      <c r="AB414">
        <f t="shared" si="53"/>
        <v>821.20000000000027</v>
      </c>
      <c r="AC414" s="8">
        <f t="shared" si="54"/>
        <v>0.28454312671732457</v>
      </c>
      <c r="AD414" t="s">
        <v>32</v>
      </c>
      <c r="AE414" t="s">
        <v>33</v>
      </c>
      <c r="AF414" t="str">
        <f t="shared" si="55"/>
        <v>Perfect Match</v>
      </c>
    </row>
    <row r="415" spans="1:32">
      <c r="A415" t="str">
        <f>IF(OR(I415&lt;0, ISTEXT(W415), ISTEXT(Y415)), "Invalid", IF(OR(B415="Conflicting Duplicate", M415="Unknown", S415="Unknown"), "Warning", "Valid"))</f>
        <v>Valid</v>
      </c>
      <c r="B415" t="str">
        <f t="shared" si="49"/>
        <v>-</v>
      </c>
      <c r="C415" t="s">
        <v>2347</v>
      </c>
      <c r="D415" s="2">
        <v>45372</v>
      </c>
      <c r="E415" t="str">
        <f t="shared" si="50"/>
        <v>March</v>
      </c>
      <c r="F415">
        <f t="shared" si="51"/>
        <v>2024</v>
      </c>
      <c r="G415" s="2">
        <v>45376</v>
      </c>
      <c r="H415" t="s">
        <v>2348</v>
      </c>
      <c r="I415">
        <f t="shared" si="52"/>
        <v>4</v>
      </c>
      <c r="J415" t="s">
        <v>2795</v>
      </c>
      <c r="K415" t="s">
        <v>89</v>
      </c>
      <c r="L415" t="s">
        <v>95</v>
      </c>
      <c r="M415" t="s">
        <v>38</v>
      </c>
      <c r="N415" t="s">
        <v>166</v>
      </c>
      <c r="O415" t="s">
        <v>167</v>
      </c>
      <c r="P415" t="s">
        <v>74</v>
      </c>
      <c r="Q415" t="s">
        <v>274</v>
      </c>
      <c r="R415" t="s">
        <v>2349</v>
      </c>
      <c r="S415" t="s">
        <v>59</v>
      </c>
      <c r="T415">
        <v>1</v>
      </c>
      <c r="U415">
        <v>1716.7</v>
      </c>
      <c r="V415">
        <v>0.15</v>
      </c>
      <c r="W415">
        <v>0.15</v>
      </c>
      <c r="X415">
        <v>1459.19</v>
      </c>
      <c r="Y415">
        <f t="shared" si="48"/>
        <v>1459.2</v>
      </c>
      <c r="Z415">
        <v>1055.79</v>
      </c>
      <c r="AA415">
        <v>403.4</v>
      </c>
      <c r="AB415">
        <f t="shared" si="53"/>
        <v>403.41000000000008</v>
      </c>
      <c r="AC415" s="8">
        <f t="shared" si="54"/>
        <v>0.27645970394736846</v>
      </c>
      <c r="AD415" t="s">
        <v>32</v>
      </c>
      <c r="AE415" t="s">
        <v>33</v>
      </c>
      <c r="AF415" t="str">
        <f t="shared" si="55"/>
        <v>Mismatch Found</v>
      </c>
    </row>
    <row r="416" spans="1:32">
      <c r="A416" t="str">
        <f>IF(OR(I416&lt;0, ISTEXT(W416), ISTEXT(Y416)), "Invalid", IF(OR(B416="Conflicting Duplicate", M416="Unknown", S416="Unknown"), "Warning", "Valid"))</f>
        <v>Valid</v>
      </c>
      <c r="B416" t="str">
        <f t="shared" si="49"/>
        <v>-</v>
      </c>
      <c r="C416" t="s">
        <v>2356</v>
      </c>
      <c r="D416" s="2">
        <v>45375</v>
      </c>
      <c r="E416" t="str">
        <f t="shared" si="50"/>
        <v>March</v>
      </c>
      <c r="F416">
        <f t="shared" si="51"/>
        <v>2024</v>
      </c>
      <c r="G416" s="2">
        <v>45378</v>
      </c>
      <c r="H416" t="s">
        <v>2357</v>
      </c>
      <c r="I416">
        <f t="shared" si="52"/>
        <v>3</v>
      </c>
      <c r="J416" t="s">
        <v>2795</v>
      </c>
      <c r="K416" t="s">
        <v>89</v>
      </c>
      <c r="L416" t="s">
        <v>90</v>
      </c>
      <c r="M416" t="s">
        <v>63</v>
      </c>
      <c r="N416" t="s">
        <v>180</v>
      </c>
      <c r="O416" t="s">
        <v>181</v>
      </c>
      <c r="P416" t="s">
        <v>28</v>
      </c>
      <c r="Q416" t="s">
        <v>124</v>
      </c>
      <c r="R416" t="s">
        <v>2358</v>
      </c>
      <c r="S416" t="s">
        <v>50</v>
      </c>
      <c r="T416">
        <v>5</v>
      </c>
      <c r="U416">
        <v>2465.2199999999998</v>
      </c>
      <c r="V416">
        <v>0.05</v>
      </c>
      <c r="W416">
        <v>0.05</v>
      </c>
      <c r="X416">
        <v>11709.79</v>
      </c>
      <c r="Y416">
        <f t="shared" si="48"/>
        <v>11709.8</v>
      </c>
      <c r="Z416">
        <v>8372.2900000000009</v>
      </c>
      <c r="AA416">
        <v>3337.5</v>
      </c>
      <c r="AB416">
        <f t="shared" si="53"/>
        <v>3337.5099999999984</v>
      </c>
      <c r="AC416" s="8">
        <f t="shared" si="54"/>
        <v>0.28501853148644712</v>
      </c>
      <c r="AD416" t="s">
        <v>32</v>
      </c>
      <c r="AE416" t="s">
        <v>33</v>
      </c>
      <c r="AF416" t="str">
        <f t="shared" si="55"/>
        <v>Mismatch Found</v>
      </c>
    </row>
    <row r="417" spans="1:32">
      <c r="A417" t="str">
        <f>IF(OR(I417&lt;0, ISTEXT(W417), ISTEXT(Y417)), "Invalid", IF(OR(B417="Conflicting Duplicate", M417="Unknown", S417="Unknown"), "Warning", "Valid"))</f>
        <v>Valid</v>
      </c>
      <c r="B417" t="str">
        <f t="shared" si="49"/>
        <v>-</v>
      </c>
      <c r="C417" t="s">
        <v>2359</v>
      </c>
      <c r="D417" s="2">
        <v>45515</v>
      </c>
      <c r="E417" t="str">
        <f t="shared" si="50"/>
        <v>August</v>
      </c>
      <c r="F417">
        <f t="shared" si="51"/>
        <v>2024</v>
      </c>
      <c r="G417" s="2">
        <v>45573</v>
      </c>
      <c r="H417" t="s">
        <v>2360</v>
      </c>
      <c r="I417">
        <f t="shared" si="52"/>
        <v>58</v>
      </c>
      <c r="J417" t="s">
        <v>2795</v>
      </c>
      <c r="K417" t="s">
        <v>89</v>
      </c>
      <c r="L417" t="s">
        <v>90</v>
      </c>
      <c r="M417" t="s">
        <v>25</v>
      </c>
      <c r="N417" t="s">
        <v>350</v>
      </c>
      <c r="O417" t="s">
        <v>351</v>
      </c>
      <c r="P417" t="s">
        <v>41</v>
      </c>
      <c r="Q417" t="s">
        <v>57</v>
      </c>
      <c r="R417" t="s">
        <v>2361</v>
      </c>
      <c r="S417" t="s">
        <v>31</v>
      </c>
      <c r="T417">
        <v>3</v>
      </c>
      <c r="U417">
        <v>1017.22</v>
      </c>
      <c r="V417">
        <v>0.15</v>
      </c>
      <c r="W417">
        <v>0.15</v>
      </c>
      <c r="X417">
        <v>2593.91</v>
      </c>
      <c r="Y417">
        <f t="shared" si="48"/>
        <v>2593.91</v>
      </c>
      <c r="Z417">
        <v>1848.48</v>
      </c>
      <c r="AA417">
        <v>745.43</v>
      </c>
      <c r="AB417">
        <f t="shared" si="53"/>
        <v>745.42999999999984</v>
      </c>
      <c r="AC417" s="8">
        <f t="shared" si="54"/>
        <v>0.28737697144465302</v>
      </c>
      <c r="AD417" t="s">
        <v>155</v>
      </c>
      <c r="AE417" t="s">
        <v>103</v>
      </c>
      <c r="AF417" t="str">
        <f t="shared" si="55"/>
        <v>Perfect Match</v>
      </c>
    </row>
    <row r="418" spans="1:32">
      <c r="A418" t="str">
        <f>IF(OR(I418&lt;0, ISTEXT(W418), ISTEXT(Y418)), "Invalid", IF(OR(B418="Conflicting Duplicate", M418="Unknown", S418="Unknown"), "Warning", "Valid"))</f>
        <v>Valid</v>
      </c>
      <c r="B418" t="str">
        <f t="shared" si="49"/>
        <v>-</v>
      </c>
      <c r="C418" t="s">
        <v>2368</v>
      </c>
      <c r="D418" s="2">
        <v>45592</v>
      </c>
      <c r="E418" t="str">
        <f t="shared" si="50"/>
        <v>October</v>
      </c>
      <c r="F418">
        <f t="shared" si="51"/>
        <v>2024</v>
      </c>
      <c r="G418" s="2">
        <v>45597</v>
      </c>
      <c r="H418" t="s">
        <v>2369</v>
      </c>
      <c r="I418">
        <f t="shared" si="52"/>
        <v>5</v>
      </c>
      <c r="J418" t="s">
        <v>2795</v>
      </c>
      <c r="K418" t="s">
        <v>141</v>
      </c>
      <c r="L418" t="s">
        <v>24</v>
      </c>
      <c r="M418" t="s">
        <v>25</v>
      </c>
      <c r="N418" t="s">
        <v>26</v>
      </c>
      <c r="O418" t="s">
        <v>27</v>
      </c>
      <c r="P418" t="s">
        <v>74</v>
      </c>
      <c r="Q418" t="s">
        <v>75</v>
      </c>
      <c r="R418" t="s">
        <v>2370</v>
      </c>
      <c r="S418" t="s">
        <v>44</v>
      </c>
      <c r="T418">
        <v>7</v>
      </c>
      <c r="U418">
        <v>2177.1</v>
      </c>
      <c r="V418">
        <v>0.2</v>
      </c>
      <c r="W418">
        <v>0.2</v>
      </c>
      <c r="X418">
        <v>12191.76</v>
      </c>
      <c r="Y418">
        <f t="shared" si="48"/>
        <v>12191.76</v>
      </c>
      <c r="Z418">
        <v>10457.49</v>
      </c>
      <c r="AA418">
        <v>1734.27</v>
      </c>
      <c r="AB418">
        <f t="shared" si="53"/>
        <v>1734.2700000000004</v>
      </c>
      <c r="AC418" s="8">
        <f t="shared" si="54"/>
        <v>0.14224935530226976</v>
      </c>
      <c r="AD418" t="s">
        <v>32</v>
      </c>
      <c r="AE418" t="s">
        <v>103</v>
      </c>
      <c r="AF418" t="str">
        <f t="shared" si="55"/>
        <v>Perfect Match</v>
      </c>
    </row>
    <row r="419" spans="1:32">
      <c r="A419" t="str">
        <f>IF(OR(I419&lt;0, ISTEXT(W419), ISTEXT(Y419)), "Invalid", IF(OR(B419="Conflicting Duplicate", M419="Unknown", S419="Unknown"), "Warning", "Valid"))</f>
        <v>Valid</v>
      </c>
      <c r="B419" t="str">
        <f t="shared" si="49"/>
        <v>-</v>
      </c>
      <c r="C419" t="s">
        <v>2374</v>
      </c>
      <c r="D419" s="2">
        <v>45414</v>
      </c>
      <c r="E419" t="str">
        <f t="shared" si="50"/>
        <v>May</v>
      </c>
      <c r="F419">
        <f t="shared" si="51"/>
        <v>2024</v>
      </c>
      <c r="G419" s="2">
        <v>45422</v>
      </c>
      <c r="H419" t="s">
        <v>2375</v>
      </c>
      <c r="I419">
        <f t="shared" si="52"/>
        <v>8</v>
      </c>
      <c r="J419" t="s">
        <v>2795</v>
      </c>
      <c r="K419" t="s">
        <v>128</v>
      </c>
      <c r="L419" t="s">
        <v>37</v>
      </c>
      <c r="M419" t="s">
        <v>54</v>
      </c>
      <c r="N419" t="s">
        <v>175</v>
      </c>
      <c r="O419" t="s">
        <v>176</v>
      </c>
      <c r="P419" t="s">
        <v>41</v>
      </c>
      <c r="Q419" t="s">
        <v>66</v>
      </c>
      <c r="R419" t="s">
        <v>2376</v>
      </c>
      <c r="S419" t="s">
        <v>59</v>
      </c>
      <c r="T419">
        <v>1</v>
      </c>
      <c r="U419">
        <v>4166.91</v>
      </c>
      <c r="V419">
        <v>0</v>
      </c>
      <c r="W419">
        <v>0</v>
      </c>
      <c r="X419">
        <v>4166.91</v>
      </c>
      <c r="Y419">
        <f t="shared" si="48"/>
        <v>4166.91</v>
      </c>
      <c r="Z419">
        <v>3412.63</v>
      </c>
      <c r="AA419">
        <v>754.28</v>
      </c>
      <c r="AB419">
        <f t="shared" si="53"/>
        <v>754.27999999999975</v>
      </c>
      <c r="AC419" s="8">
        <f t="shared" si="54"/>
        <v>0.18101662862888801</v>
      </c>
      <c r="AD419" t="s">
        <v>32</v>
      </c>
      <c r="AE419" t="s">
        <v>33</v>
      </c>
      <c r="AF419" t="str">
        <f t="shared" si="55"/>
        <v>Perfect Match</v>
      </c>
    </row>
    <row r="420" spans="1:32">
      <c r="A420" t="str">
        <f>IF(OR(I420&lt;0, ISTEXT(W420), ISTEXT(Y420)), "Invalid", IF(OR(B420="Conflicting Duplicate", M420="Unknown", S420="Unknown"), "Warning", "Valid"))</f>
        <v>Valid</v>
      </c>
      <c r="B420" t="str">
        <f t="shared" si="49"/>
        <v>-</v>
      </c>
      <c r="C420" t="s">
        <v>2377</v>
      </c>
      <c r="D420" s="2">
        <v>45492</v>
      </c>
      <c r="E420" t="str">
        <f t="shared" si="50"/>
        <v>July</v>
      </c>
      <c r="F420">
        <f t="shared" si="51"/>
        <v>2024</v>
      </c>
      <c r="G420" s="2">
        <v>45499</v>
      </c>
      <c r="H420" t="s">
        <v>2378</v>
      </c>
      <c r="I420">
        <f t="shared" si="52"/>
        <v>7</v>
      </c>
      <c r="J420" t="s">
        <v>2795</v>
      </c>
      <c r="K420" t="s">
        <v>53</v>
      </c>
      <c r="L420" t="s">
        <v>95</v>
      </c>
      <c r="M420" t="s">
        <v>54</v>
      </c>
      <c r="N420" t="s">
        <v>175</v>
      </c>
      <c r="O420" t="s">
        <v>176</v>
      </c>
      <c r="P420" t="s">
        <v>41</v>
      </c>
      <c r="Q420" t="s">
        <v>42</v>
      </c>
      <c r="R420" t="s">
        <v>2379</v>
      </c>
      <c r="S420" t="s">
        <v>31</v>
      </c>
      <c r="T420">
        <v>5</v>
      </c>
      <c r="U420">
        <v>3986.01</v>
      </c>
      <c r="V420">
        <v>0.25</v>
      </c>
      <c r="W420">
        <v>0.25</v>
      </c>
      <c r="X420">
        <v>14947.54</v>
      </c>
      <c r="Y420">
        <f t="shared" si="48"/>
        <v>14947.54</v>
      </c>
      <c r="Z420">
        <v>9438.4599999999991</v>
      </c>
      <c r="AA420">
        <v>5509.08</v>
      </c>
      <c r="AB420">
        <f t="shared" si="53"/>
        <v>5509.0800000000017</v>
      </c>
      <c r="AC420" s="8">
        <f t="shared" si="54"/>
        <v>0.36856098060282838</v>
      </c>
      <c r="AD420" t="s">
        <v>32</v>
      </c>
      <c r="AE420" t="s">
        <v>33</v>
      </c>
      <c r="AF420" t="str">
        <f t="shared" si="55"/>
        <v>Perfect Match</v>
      </c>
    </row>
    <row r="421" spans="1:32">
      <c r="A421" t="str">
        <f>IF(OR(I421&lt;0, ISTEXT(W421), ISTEXT(Y421)), "Invalid", IF(OR(B421="Conflicting Duplicate", M421="Unknown", S421="Unknown"), "Warning", "Valid"))</f>
        <v>Valid</v>
      </c>
      <c r="B421" t="str">
        <f t="shared" si="49"/>
        <v>-</v>
      </c>
      <c r="C421" t="s">
        <v>2380</v>
      </c>
      <c r="D421" s="2">
        <v>45532</v>
      </c>
      <c r="E421" t="str">
        <f t="shared" si="50"/>
        <v>August</v>
      </c>
      <c r="F421">
        <f t="shared" si="51"/>
        <v>2024</v>
      </c>
      <c r="G421" s="2">
        <v>45537</v>
      </c>
      <c r="H421" t="s">
        <v>2381</v>
      </c>
      <c r="I421">
        <f t="shared" si="52"/>
        <v>5</v>
      </c>
      <c r="J421" t="s">
        <v>2795</v>
      </c>
      <c r="K421" t="s">
        <v>89</v>
      </c>
      <c r="L421" t="s">
        <v>95</v>
      </c>
      <c r="M421" t="s">
        <v>38</v>
      </c>
      <c r="N421" t="s">
        <v>166</v>
      </c>
      <c r="O421" t="s">
        <v>167</v>
      </c>
      <c r="P421" t="s">
        <v>28</v>
      </c>
      <c r="Q421" t="s">
        <v>48</v>
      </c>
      <c r="R421" t="s">
        <v>2382</v>
      </c>
      <c r="S421" t="s">
        <v>31</v>
      </c>
      <c r="T421">
        <v>4</v>
      </c>
      <c r="U421">
        <v>3365.53</v>
      </c>
      <c r="V421">
        <v>0</v>
      </c>
      <c r="W421">
        <v>0</v>
      </c>
      <c r="X421">
        <v>13462.12</v>
      </c>
      <c r="Y421">
        <f t="shared" si="48"/>
        <v>13462.12</v>
      </c>
      <c r="Z421">
        <v>7600.63</v>
      </c>
      <c r="AA421">
        <v>5861.49</v>
      </c>
      <c r="AB421">
        <f t="shared" si="53"/>
        <v>5861.4900000000007</v>
      </c>
      <c r="AC421" s="8">
        <f t="shared" si="54"/>
        <v>0.43540616188237813</v>
      </c>
      <c r="AD421" t="s">
        <v>111</v>
      </c>
      <c r="AE421" t="s">
        <v>103</v>
      </c>
      <c r="AF421" t="str">
        <f t="shared" si="55"/>
        <v>Perfect Match</v>
      </c>
    </row>
    <row r="422" spans="1:32">
      <c r="A422" t="str">
        <f>IF(OR(I422&lt;0, ISTEXT(W422), ISTEXT(Y422)), "Invalid", IF(OR(B422="Conflicting Duplicate", M422="Unknown", S422="Unknown"), "Warning", "Valid"))</f>
        <v>Valid</v>
      </c>
      <c r="B422" t="str">
        <f t="shared" si="49"/>
        <v>-</v>
      </c>
      <c r="C422" t="s">
        <v>2386</v>
      </c>
      <c r="D422" s="2">
        <v>45292</v>
      </c>
      <c r="E422" t="str">
        <f t="shared" si="50"/>
        <v>January</v>
      </c>
      <c r="F422">
        <f t="shared" si="51"/>
        <v>2024</v>
      </c>
      <c r="G422" s="2">
        <v>45296</v>
      </c>
      <c r="H422" t="s">
        <v>2387</v>
      </c>
      <c r="I422">
        <f t="shared" si="52"/>
        <v>4</v>
      </c>
      <c r="J422" t="s">
        <v>2795</v>
      </c>
      <c r="K422" t="s">
        <v>162</v>
      </c>
      <c r="L422" t="s">
        <v>90</v>
      </c>
      <c r="M422" t="s">
        <v>63</v>
      </c>
      <c r="N422" t="s">
        <v>72</v>
      </c>
      <c r="O422" t="s">
        <v>73</v>
      </c>
      <c r="P422" t="s">
        <v>74</v>
      </c>
      <c r="Q422" t="s">
        <v>274</v>
      </c>
      <c r="R422" t="s">
        <v>2388</v>
      </c>
      <c r="S422" t="s">
        <v>31</v>
      </c>
      <c r="T422">
        <v>2</v>
      </c>
      <c r="U422">
        <v>3694.12</v>
      </c>
      <c r="V422">
        <v>0.2</v>
      </c>
      <c r="W422">
        <v>0.2</v>
      </c>
      <c r="X422">
        <v>5910.59</v>
      </c>
      <c r="Y422">
        <f t="shared" si="48"/>
        <v>5910.59</v>
      </c>
      <c r="Z422">
        <v>4775.4399999999996</v>
      </c>
      <c r="AA422">
        <v>1135.1500000000001</v>
      </c>
      <c r="AB422">
        <f t="shared" si="53"/>
        <v>1135.1500000000005</v>
      </c>
      <c r="AC422" s="8">
        <f t="shared" si="54"/>
        <v>0.19205358517508414</v>
      </c>
      <c r="AD422" t="s">
        <v>102</v>
      </c>
      <c r="AE422" t="s">
        <v>103</v>
      </c>
      <c r="AF422" t="str">
        <f t="shared" si="55"/>
        <v>Perfect Match</v>
      </c>
    </row>
    <row r="423" spans="1:32">
      <c r="A423" t="str">
        <f>IF(OR(I423&lt;0, ISTEXT(W423), ISTEXT(Y423)), "Invalid", IF(OR(B423="Conflicting Duplicate", M423="Unknown", S423="Unknown"), "Warning", "Valid"))</f>
        <v>Valid</v>
      </c>
      <c r="B423" t="str">
        <f t="shared" si="49"/>
        <v>-</v>
      </c>
      <c r="C423" t="s">
        <v>2397</v>
      </c>
      <c r="D423" s="2">
        <v>45552</v>
      </c>
      <c r="E423" t="str">
        <f t="shared" si="50"/>
        <v>September</v>
      </c>
      <c r="F423">
        <f t="shared" si="51"/>
        <v>2024</v>
      </c>
      <c r="G423" s="2">
        <v>45559</v>
      </c>
      <c r="H423" t="s">
        <v>2398</v>
      </c>
      <c r="I423">
        <f t="shared" si="52"/>
        <v>7</v>
      </c>
      <c r="J423" t="s">
        <v>2795</v>
      </c>
      <c r="K423" t="s">
        <v>36</v>
      </c>
      <c r="L423" t="s">
        <v>90</v>
      </c>
      <c r="M423" t="s">
        <v>63</v>
      </c>
      <c r="N423" t="s">
        <v>180</v>
      </c>
      <c r="O423" t="s">
        <v>181</v>
      </c>
      <c r="P423" t="s">
        <v>28</v>
      </c>
      <c r="Q423" t="s">
        <v>48</v>
      </c>
      <c r="R423" t="s">
        <v>2399</v>
      </c>
      <c r="S423" t="s">
        <v>31</v>
      </c>
      <c r="T423">
        <v>9</v>
      </c>
      <c r="U423">
        <v>2307.96</v>
      </c>
      <c r="V423">
        <v>0.2</v>
      </c>
      <c r="W423">
        <v>0.2</v>
      </c>
      <c r="X423">
        <v>16617.310000000001</v>
      </c>
      <c r="Y423">
        <f t="shared" si="48"/>
        <v>16617.310000000001</v>
      </c>
      <c r="Z423">
        <v>9195.73</v>
      </c>
      <c r="AA423">
        <v>7421.58</v>
      </c>
      <c r="AB423">
        <f t="shared" si="53"/>
        <v>7421.5800000000017</v>
      </c>
      <c r="AC423" s="8">
        <f t="shared" si="54"/>
        <v>0.44661741280628459</v>
      </c>
      <c r="AD423" t="s">
        <v>32</v>
      </c>
      <c r="AE423" t="s">
        <v>68</v>
      </c>
      <c r="AF423" t="str">
        <f t="shared" si="55"/>
        <v>Perfect Match</v>
      </c>
    </row>
    <row r="424" spans="1:32">
      <c r="A424" t="str">
        <f>IF(OR(I424&lt;0, ISTEXT(W424), ISTEXT(Y424)), "Invalid", IF(OR(B424="Conflicting Duplicate", M424="Unknown", S424="Unknown"), "Warning", "Valid"))</f>
        <v>Valid</v>
      </c>
      <c r="B424" t="str">
        <f t="shared" si="49"/>
        <v>-</v>
      </c>
      <c r="C424" t="s">
        <v>2400</v>
      </c>
      <c r="D424" s="2">
        <v>45415</v>
      </c>
      <c r="E424" t="str">
        <f t="shared" si="50"/>
        <v>May</v>
      </c>
      <c r="F424">
        <f t="shared" si="51"/>
        <v>2024</v>
      </c>
      <c r="G424" s="2">
        <v>45418</v>
      </c>
      <c r="H424" t="s">
        <v>2401</v>
      </c>
      <c r="I424">
        <f t="shared" si="52"/>
        <v>3</v>
      </c>
      <c r="J424" t="s">
        <v>2795</v>
      </c>
      <c r="K424" t="s">
        <v>62</v>
      </c>
      <c r="L424" t="s">
        <v>95</v>
      </c>
      <c r="M424" t="s">
        <v>25</v>
      </c>
      <c r="N424" t="s">
        <v>136</v>
      </c>
      <c r="O424" t="s">
        <v>137</v>
      </c>
      <c r="P424" t="s">
        <v>612</v>
      </c>
      <c r="Q424" t="s">
        <v>153</v>
      </c>
      <c r="R424" t="s">
        <v>2402</v>
      </c>
      <c r="S424" t="s">
        <v>59</v>
      </c>
      <c r="T424">
        <v>1</v>
      </c>
      <c r="U424">
        <v>1244.58</v>
      </c>
      <c r="V424">
        <v>0.25</v>
      </c>
      <c r="W424">
        <v>0.25</v>
      </c>
      <c r="X424">
        <v>933.43</v>
      </c>
      <c r="Y424">
        <f t="shared" si="48"/>
        <v>933.44</v>
      </c>
      <c r="Z424">
        <v>583.09</v>
      </c>
      <c r="AA424">
        <v>350.34</v>
      </c>
      <c r="AB424">
        <f t="shared" si="53"/>
        <v>350.35</v>
      </c>
      <c r="AC424" s="8">
        <f t="shared" si="54"/>
        <v>0.3753321049022969</v>
      </c>
      <c r="AD424" t="s">
        <v>32</v>
      </c>
      <c r="AE424" t="s">
        <v>33</v>
      </c>
      <c r="AF424" t="str">
        <f t="shared" si="55"/>
        <v>Mismatch Found</v>
      </c>
    </row>
    <row r="425" spans="1:32">
      <c r="A425" t="str">
        <f>IF(OR(I425&lt;0, ISTEXT(W425), ISTEXT(Y425)), "Invalid", IF(OR(B425="Conflicting Duplicate", M425="Unknown", S425="Unknown"), "Warning", "Valid"))</f>
        <v>Valid</v>
      </c>
      <c r="B425" t="str">
        <f t="shared" si="49"/>
        <v>-</v>
      </c>
      <c r="C425" t="s">
        <v>2406</v>
      </c>
      <c r="D425" s="2">
        <v>45423</v>
      </c>
      <c r="E425" t="str">
        <f t="shared" si="50"/>
        <v>May</v>
      </c>
      <c r="F425">
        <f t="shared" si="51"/>
        <v>2024</v>
      </c>
      <c r="G425" s="2">
        <v>45425</v>
      </c>
      <c r="H425" t="s">
        <v>2407</v>
      </c>
      <c r="I425">
        <f t="shared" si="52"/>
        <v>2</v>
      </c>
      <c r="J425" t="s">
        <v>2795</v>
      </c>
      <c r="K425" t="s">
        <v>114</v>
      </c>
      <c r="L425" t="s">
        <v>95</v>
      </c>
      <c r="M425" t="s">
        <v>63</v>
      </c>
      <c r="N425" t="s">
        <v>190</v>
      </c>
      <c r="O425" t="s">
        <v>191</v>
      </c>
      <c r="P425" t="s">
        <v>41</v>
      </c>
      <c r="Q425" t="s">
        <v>158</v>
      </c>
      <c r="R425" t="s">
        <v>2408</v>
      </c>
      <c r="S425" t="s">
        <v>44</v>
      </c>
      <c r="T425">
        <v>3</v>
      </c>
      <c r="U425">
        <v>3612.75</v>
      </c>
      <c r="V425">
        <v>0.25</v>
      </c>
      <c r="W425">
        <v>0.25</v>
      </c>
      <c r="X425">
        <v>8128.69</v>
      </c>
      <c r="Y425">
        <f t="shared" si="48"/>
        <v>8128.69</v>
      </c>
      <c r="Z425">
        <v>5071.66</v>
      </c>
      <c r="AA425">
        <v>3057.03</v>
      </c>
      <c r="AB425">
        <f t="shared" si="53"/>
        <v>3057.0299999999997</v>
      </c>
      <c r="AC425" s="8">
        <f t="shared" si="54"/>
        <v>0.37607904840755396</v>
      </c>
      <c r="AD425" t="s">
        <v>32</v>
      </c>
      <c r="AE425" t="s">
        <v>33</v>
      </c>
      <c r="AF425" t="str">
        <f t="shared" si="55"/>
        <v>Perfect Match</v>
      </c>
    </row>
    <row r="426" spans="1:32">
      <c r="A426" t="str">
        <f>IF(OR(I426&lt;0, ISTEXT(W426), ISTEXT(Y426)), "Invalid", IF(OR(B426="Conflicting Duplicate", M426="Unknown", S426="Unknown"), "Warning", "Valid"))</f>
        <v>Valid</v>
      </c>
      <c r="B426" t="str">
        <f t="shared" si="49"/>
        <v>-</v>
      </c>
      <c r="C426" t="s">
        <v>2409</v>
      </c>
      <c r="D426" s="2">
        <v>45337</v>
      </c>
      <c r="E426" t="str">
        <f t="shared" si="50"/>
        <v>February</v>
      </c>
      <c r="F426">
        <f t="shared" si="51"/>
        <v>2024</v>
      </c>
      <c r="G426" s="2">
        <v>45339</v>
      </c>
      <c r="H426" t="s">
        <v>2410</v>
      </c>
      <c r="I426">
        <f t="shared" si="52"/>
        <v>2</v>
      </c>
      <c r="J426" t="s">
        <v>2795</v>
      </c>
      <c r="K426" t="s">
        <v>79</v>
      </c>
      <c r="L426" t="s">
        <v>24</v>
      </c>
      <c r="M426" t="s">
        <v>25</v>
      </c>
      <c r="N426" t="s">
        <v>136</v>
      </c>
      <c r="O426" t="s">
        <v>137</v>
      </c>
      <c r="P426" t="s">
        <v>74</v>
      </c>
      <c r="Q426" t="s">
        <v>80</v>
      </c>
      <c r="R426" t="s">
        <v>2411</v>
      </c>
      <c r="S426" t="s">
        <v>50</v>
      </c>
      <c r="T426">
        <v>4</v>
      </c>
      <c r="U426">
        <v>863</v>
      </c>
      <c r="V426">
        <f>IF(ROUND(T408*U408, 2)=ROUND(X408, 2), 0, "Flag - Missing Value")</f>
        <v>0</v>
      </c>
      <c r="W426">
        <v>0</v>
      </c>
      <c r="X426">
        <v>3106.8</v>
      </c>
      <c r="Y426">
        <f t="shared" si="48"/>
        <v>3452</v>
      </c>
      <c r="Z426">
        <v>2376.62</v>
      </c>
      <c r="AA426">
        <v>730.18</v>
      </c>
      <c r="AB426">
        <f t="shared" si="53"/>
        <v>1075.3800000000001</v>
      </c>
      <c r="AC426" s="8">
        <f t="shared" si="54"/>
        <v>0.3115237543453071</v>
      </c>
      <c r="AD426" t="s">
        <v>32</v>
      </c>
      <c r="AE426" t="s">
        <v>33</v>
      </c>
      <c r="AF426" t="str">
        <f t="shared" si="55"/>
        <v>Mismatch Found</v>
      </c>
    </row>
    <row r="427" spans="1:32">
      <c r="A427" s="6" t="str">
        <f>IF(OR(I427&lt;0, ISTEXT(W427), ISTEXT(Y427)), "Invalid", IF(OR(B427="Conflicting Duplicate", M427="Unknown", S427="Unknown"), "Warning", "Valid"))</f>
        <v>Invalid</v>
      </c>
      <c r="B427" t="str">
        <f t="shared" si="49"/>
        <v>-</v>
      </c>
      <c r="C427" t="s">
        <v>2412</v>
      </c>
      <c r="D427" s="2">
        <v>45485</v>
      </c>
      <c r="E427" t="str">
        <f t="shared" si="50"/>
        <v>July</v>
      </c>
      <c r="F427">
        <f t="shared" si="51"/>
        <v>2024</v>
      </c>
      <c r="G427" s="2">
        <v>45487</v>
      </c>
      <c r="H427" t="s">
        <v>467</v>
      </c>
      <c r="I427">
        <f t="shared" si="52"/>
        <v>2</v>
      </c>
      <c r="J427" t="s">
        <v>2795</v>
      </c>
      <c r="K427" t="s">
        <v>62</v>
      </c>
      <c r="L427" t="s">
        <v>24</v>
      </c>
      <c r="M427" t="s">
        <v>25</v>
      </c>
      <c r="N427" t="s">
        <v>236</v>
      </c>
      <c r="O427" t="s">
        <v>237</v>
      </c>
      <c r="P427" t="s">
        <v>74</v>
      </c>
      <c r="Q427" t="s">
        <v>274</v>
      </c>
      <c r="R427" t="s">
        <v>2413</v>
      </c>
      <c r="S427" t="s">
        <v>31</v>
      </c>
      <c r="T427">
        <v>4</v>
      </c>
      <c r="U427">
        <v>2131.41</v>
      </c>
      <c r="V427" s="4" t="str">
        <f>IF(ROUND(T409*U409, 2)=ROUND(X409, 2), 0, "Flag - Missing Value")</f>
        <v>Flag - Missing Value</v>
      </c>
      <c r="W427" s="4" t="s">
        <v>2794</v>
      </c>
      <c r="X427">
        <v>6394.23</v>
      </c>
      <c r="Y427" s="4" t="str">
        <f t="shared" si="48"/>
        <v>Cannot Calculate</v>
      </c>
      <c r="Z427">
        <v>3520.69</v>
      </c>
      <c r="AA427">
        <v>2873.54</v>
      </c>
      <c r="AB427" s="4" t="str">
        <f t="shared" si="53"/>
        <v>Cannot Calculate</v>
      </c>
      <c r="AC427" s="9">
        <f t="shared" si="54"/>
        <v>0</v>
      </c>
      <c r="AD427" t="s">
        <v>32</v>
      </c>
      <c r="AE427" t="s">
        <v>33</v>
      </c>
      <c r="AF427" t="str">
        <f t="shared" si="55"/>
        <v>Calculation Blocked</v>
      </c>
    </row>
    <row r="428" spans="1:32">
      <c r="A428" t="str">
        <f>IF(OR(I428&lt;0, ISTEXT(W428), ISTEXT(Y428)), "Invalid", IF(OR(B428="Conflicting Duplicate", M428="Unknown", S428="Unknown"), "Warning", "Valid"))</f>
        <v>Valid</v>
      </c>
      <c r="B428" t="str">
        <f t="shared" si="49"/>
        <v>-</v>
      </c>
      <c r="C428" t="s">
        <v>2423</v>
      </c>
      <c r="D428" s="2">
        <v>45396</v>
      </c>
      <c r="E428" t="str">
        <f t="shared" si="50"/>
        <v>April</v>
      </c>
      <c r="F428">
        <f t="shared" si="51"/>
        <v>2024</v>
      </c>
      <c r="G428" s="2">
        <v>45404</v>
      </c>
      <c r="H428" t="s">
        <v>2424</v>
      </c>
      <c r="I428">
        <f t="shared" si="52"/>
        <v>8</v>
      </c>
      <c r="J428" t="s">
        <v>2795</v>
      </c>
      <c r="K428" t="s">
        <v>53</v>
      </c>
      <c r="L428" t="s">
        <v>24</v>
      </c>
      <c r="M428" t="s">
        <v>25</v>
      </c>
      <c r="N428" t="s">
        <v>236</v>
      </c>
      <c r="O428" t="s">
        <v>237</v>
      </c>
      <c r="P428" t="s">
        <v>74</v>
      </c>
      <c r="Q428" t="s">
        <v>75</v>
      </c>
      <c r="R428" t="s">
        <v>2425</v>
      </c>
      <c r="S428" t="s">
        <v>59</v>
      </c>
      <c r="T428">
        <v>8</v>
      </c>
      <c r="U428">
        <v>3956.12</v>
      </c>
      <c r="V428">
        <v>0.25</v>
      </c>
      <c r="W428">
        <v>0.25</v>
      </c>
      <c r="X428">
        <v>23736.720000000001</v>
      </c>
      <c r="Y428">
        <f t="shared" si="48"/>
        <v>23736.720000000001</v>
      </c>
      <c r="Z428">
        <v>13890.9</v>
      </c>
      <c r="AA428">
        <v>9845.82</v>
      </c>
      <c r="AB428">
        <f t="shared" si="53"/>
        <v>9845.8200000000015</v>
      </c>
      <c r="AC428" s="8">
        <f t="shared" si="54"/>
        <v>0.41479277676106896</v>
      </c>
      <c r="AD428" t="s">
        <v>32</v>
      </c>
      <c r="AE428" t="s">
        <v>33</v>
      </c>
      <c r="AF428" t="str">
        <f t="shared" si="55"/>
        <v>Perfect Match</v>
      </c>
    </row>
    <row r="429" spans="1:32">
      <c r="A429" s="6" t="str">
        <f>IF(OR(I429&lt;0, ISTEXT(W429), ISTEXT(Y429)), "Invalid", IF(OR(B429="Conflicting Duplicate", M429="Unknown", S429="Unknown"), "Warning", "Valid"))</f>
        <v>Invalid</v>
      </c>
      <c r="B429" t="str">
        <f t="shared" si="49"/>
        <v>-</v>
      </c>
      <c r="C429" t="s">
        <v>2429</v>
      </c>
      <c r="D429" s="2">
        <v>45384</v>
      </c>
      <c r="E429" t="str">
        <f t="shared" si="50"/>
        <v>April</v>
      </c>
      <c r="F429">
        <f t="shared" si="51"/>
        <v>2024</v>
      </c>
      <c r="G429" s="2">
        <v>45328</v>
      </c>
      <c r="H429" t="s">
        <v>2430</v>
      </c>
      <c r="I429" s="7">
        <f t="shared" si="52"/>
        <v>-56</v>
      </c>
      <c r="J429" s="7" t="s">
        <v>2802</v>
      </c>
      <c r="K429" t="s">
        <v>264</v>
      </c>
      <c r="L429" t="s">
        <v>37</v>
      </c>
      <c r="M429" t="s">
        <v>63</v>
      </c>
      <c r="N429" t="s">
        <v>72</v>
      </c>
      <c r="O429" t="s">
        <v>73</v>
      </c>
      <c r="P429" t="s">
        <v>74</v>
      </c>
      <c r="Q429" t="s">
        <v>75</v>
      </c>
      <c r="R429" t="s">
        <v>2431</v>
      </c>
      <c r="S429" t="s">
        <v>31</v>
      </c>
      <c r="T429">
        <v>4</v>
      </c>
      <c r="U429">
        <v>1489.74</v>
      </c>
      <c r="V429">
        <v>0.15</v>
      </c>
      <c r="W429">
        <v>0.15</v>
      </c>
      <c r="X429">
        <v>5065.12</v>
      </c>
      <c r="Y429">
        <f t="shared" si="48"/>
        <v>5065.12</v>
      </c>
      <c r="Z429">
        <v>3530.12</v>
      </c>
      <c r="AA429">
        <v>1535</v>
      </c>
      <c r="AB429">
        <f t="shared" si="53"/>
        <v>1535</v>
      </c>
      <c r="AC429" s="8">
        <f t="shared" si="54"/>
        <v>0.30305303724294785</v>
      </c>
      <c r="AD429" t="s">
        <v>155</v>
      </c>
      <c r="AE429" t="s">
        <v>68</v>
      </c>
      <c r="AF429" t="str">
        <f t="shared" si="55"/>
        <v>Perfect Match</v>
      </c>
    </row>
    <row r="430" spans="1:32">
      <c r="A430" t="str">
        <f>IF(OR(I430&lt;0, ISTEXT(W430), ISTEXT(Y430)), "Invalid", IF(OR(B430="Conflicting Duplicate", M430="Unknown", S430="Unknown"), "Warning", "Valid"))</f>
        <v>Valid</v>
      </c>
      <c r="B430" t="str">
        <f t="shared" si="49"/>
        <v>-</v>
      </c>
      <c r="C430" t="s">
        <v>2432</v>
      </c>
      <c r="D430" s="2">
        <v>45497</v>
      </c>
      <c r="E430" t="str">
        <f t="shared" si="50"/>
        <v>July</v>
      </c>
      <c r="F430">
        <f t="shared" si="51"/>
        <v>2024</v>
      </c>
      <c r="G430" s="2">
        <v>45497</v>
      </c>
      <c r="H430" t="s">
        <v>2433</v>
      </c>
      <c r="I430">
        <f t="shared" si="52"/>
        <v>0</v>
      </c>
      <c r="J430" t="s">
        <v>2795</v>
      </c>
      <c r="K430" t="s">
        <v>23</v>
      </c>
      <c r="L430" t="s">
        <v>37</v>
      </c>
      <c r="M430" t="s">
        <v>25</v>
      </c>
      <c r="N430" t="s">
        <v>236</v>
      </c>
      <c r="O430" t="s">
        <v>237</v>
      </c>
      <c r="P430" t="s">
        <v>74</v>
      </c>
      <c r="Q430" t="s">
        <v>80</v>
      </c>
      <c r="R430" t="s">
        <v>2434</v>
      </c>
      <c r="S430" t="s">
        <v>31</v>
      </c>
      <c r="T430">
        <v>4</v>
      </c>
      <c r="U430">
        <v>1676.88</v>
      </c>
      <c r="V430">
        <v>0</v>
      </c>
      <c r="W430">
        <v>0</v>
      </c>
      <c r="X430">
        <v>6707.52</v>
      </c>
      <c r="Y430">
        <f t="shared" si="48"/>
        <v>6707.52</v>
      </c>
      <c r="Z430">
        <v>5672.57</v>
      </c>
      <c r="AA430">
        <v>1034.95</v>
      </c>
      <c r="AB430">
        <f t="shared" si="53"/>
        <v>1034.9500000000007</v>
      </c>
      <c r="AC430" s="8">
        <f t="shared" si="54"/>
        <v>0.15429696817899918</v>
      </c>
      <c r="AD430" t="s">
        <v>32</v>
      </c>
      <c r="AE430" t="s">
        <v>33</v>
      </c>
      <c r="AF430" t="str">
        <f t="shared" si="55"/>
        <v>Perfect Match</v>
      </c>
    </row>
    <row r="431" spans="1:32">
      <c r="A431" t="str">
        <f>IF(OR(I431&lt;0, ISTEXT(W431), ISTEXT(Y431)), "Invalid", IF(OR(B431="Conflicting Duplicate", M431="Unknown", S431="Unknown"), "Warning", "Valid"))</f>
        <v>Valid</v>
      </c>
      <c r="B431" t="str">
        <f t="shared" si="49"/>
        <v>-</v>
      </c>
      <c r="C431" t="s">
        <v>2435</v>
      </c>
      <c r="D431" s="2">
        <v>45306</v>
      </c>
      <c r="E431" t="str">
        <f t="shared" si="50"/>
        <v>January</v>
      </c>
      <c r="F431">
        <f t="shared" si="51"/>
        <v>2024</v>
      </c>
      <c r="G431" s="2">
        <v>45311</v>
      </c>
      <c r="H431" t="s">
        <v>2436</v>
      </c>
      <c r="I431">
        <f t="shared" si="52"/>
        <v>5</v>
      </c>
      <c r="J431" t="s">
        <v>2795</v>
      </c>
      <c r="K431" t="s">
        <v>114</v>
      </c>
      <c r="L431" t="s">
        <v>37</v>
      </c>
      <c r="M431" t="s">
        <v>54</v>
      </c>
      <c r="N431" t="s">
        <v>84</v>
      </c>
      <c r="O431" t="s">
        <v>85</v>
      </c>
      <c r="P431" t="s">
        <v>41</v>
      </c>
      <c r="Q431" t="s">
        <v>66</v>
      </c>
      <c r="R431" t="s">
        <v>2437</v>
      </c>
      <c r="S431" t="s">
        <v>59</v>
      </c>
      <c r="T431">
        <v>4</v>
      </c>
      <c r="U431">
        <v>3153.54</v>
      </c>
      <c r="V431">
        <v>0.05</v>
      </c>
      <c r="W431">
        <v>0.05</v>
      </c>
      <c r="X431">
        <v>11983.45</v>
      </c>
      <c r="Y431">
        <f t="shared" si="48"/>
        <v>11983.45</v>
      </c>
      <c r="Z431">
        <v>8572.9</v>
      </c>
      <c r="AA431">
        <v>3410.55</v>
      </c>
      <c r="AB431">
        <f t="shared" si="53"/>
        <v>3410.5500000000011</v>
      </c>
      <c r="AC431" s="8">
        <f t="shared" si="54"/>
        <v>0.28460501775365199</v>
      </c>
      <c r="AD431" t="s">
        <v>32</v>
      </c>
      <c r="AE431" t="s">
        <v>33</v>
      </c>
      <c r="AF431" t="str">
        <f t="shared" si="55"/>
        <v>Perfect Match</v>
      </c>
    </row>
    <row r="432" spans="1:32">
      <c r="A432" t="str">
        <f>IF(OR(I432&lt;0, ISTEXT(W432), ISTEXT(Y432)), "Invalid", IF(OR(B432="Conflicting Duplicate", M432="Unknown", S432="Unknown"), "Warning", "Valid"))</f>
        <v>Valid</v>
      </c>
      <c r="B432" t="str">
        <f t="shared" si="49"/>
        <v>-</v>
      </c>
      <c r="C432" t="s">
        <v>2438</v>
      </c>
      <c r="D432" s="2">
        <v>45508</v>
      </c>
      <c r="E432" t="str">
        <f t="shared" si="50"/>
        <v>August</v>
      </c>
      <c r="F432">
        <f t="shared" si="51"/>
        <v>2024</v>
      </c>
      <c r="G432" s="2">
        <v>45514</v>
      </c>
      <c r="H432" t="s">
        <v>2439</v>
      </c>
      <c r="I432">
        <f t="shared" si="52"/>
        <v>6</v>
      </c>
      <c r="J432" t="s">
        <v>2795</v>
      </c>
      <c r="K432" t="s">
        <v>162</v>
      </c>
      <c r="L432" t="s">
        <v>37</v>
      </c>
      <c r="M432" t="s">
        <v>63</v>
      </c>
      <c r="N432" t="s">
        <v>26</v>
      </c>
      <c r="O432" t="s">
        <v>109</v>
      </c>
      <c r="P432" t="s">
        <v>41</v>
      </c>
      <c r="Q432" t="s">
        <v>66</v>
      </c>
      <c r="R432" t="s">
        <v>2440</v>
      </c>
      <c r="S432" t="s">
        <v>44</v>
      </c>
      <c r="T432">
        <v>4</v>
      </c>
      <c r="U432">
        <v>426.43</v>
      </c>
      <c r="V432">
        <v>0.2</v>
      </c>
      <c r="W432">
        <v>0.2</v>
      </c>
      <c r="X432">
        <v>1364.58</v>
      </c>
      <c r="Y432">
        <f t="shared" si="48"/>
        <v>1364.58</v>
      </c>
      <c r="Z432">
        <v>978.16</v>
      </c>
      <c r="AA432">
        <v>386.42</v>
      </c>
      <c r="AB432">
        <f t="shared" si="53"/>
        <v>386.41999999999996</v>
      </c>
      <c r="AC432" s="8">
        <f t="shared" si="54"/>
        <v>0.28317870700142167</v>
      </c>
      <c r="AD432" t="s">
        <v>32</v>
      </c>
      <c r="AE432" t="s">
        <v>33</v>
      </c>
      <c r="AF432" t="str">
        <f t="shared" si="55"/>
        <v>Perfect Match</v>
      </c>
    </row>
    <row r="433" spans="1:32">
      <c r="A433" t="str">
        <f>IF(OR(I433&lt;0, ISTEXT(W433), ISTEXT(Y433)), "Invalid", IF(OR(B433="Conflicting Duplicate", M433="Unknown", S433="Unknown"), "Warning", "Valid"))</f>
        <v>Valid</v>
      </c>
      <c r="B433" t="str">
        <f t="shared" si="49"/>
        <v>-</v>
      </c>
      <c r="C433" t="s">
        <v>2441</v>
      </c>
      <c r="D433" s="2">
        <v>45324</v>
      </c>
      <c r="E433" t="str">
        <f t="shared" si="50"/>
        <v>February</v>
      </c>
      <c r="F433">
        <f t="shared" si="51"/>
        <v>2024</v>
      </c>
      <c r="G433" s="2">
        <v>45332</v>
      </c>
      <c r="H433" t="s">
        <v>2442</v>
      </c>
      <c r="I433">
        <f t="shared" si="52"/>
        <v>8</v>
      </c>
      <c r="J433" t="s">
        <v>2795</v>
      </c>
      <c r="K433" t="s">
        <v>23</v>
      </c>
      <c r="L433" t="s">
        <v>95</v>
      </c>
      <c r="M433" t="s">
        <v>63</v>
      </c>
      <c r="N433" t="s">
        <v>26</v>
      </c>
      <c r="O433" t="s">
        <v>109</v>
      </c>
      <c r="P433" t="s">
        <v>28</v>
      </c>
      <c r="Q433" t="s">
        <v>91</v>
      </c>
      <c r="R433" t="s">
        <v>2443</v>
      </c>
      <c r="S433" t="s">
        <v>50</v>
      </c>
      <c r="T433">
        <v>3</v>
      </c>
      <c r="U433">
        <v>383.4</v>
      </c>
      <c r="V433">
        <v>0.25</v>
      </c>
      <c r="W433">
        <v>0.25</v>
      </c>
      <c r="X433">
        <v>862.65</v>
      </c>
      <c r="Y433">
        <f t="shared" si="48"/>
        <v>862.65</v>
      </c>
      <c r="Z433">
        <v>603.73</v>
      </c>
      <c r="AA433">
        <v>258.92</v>
      </c>
      <c r="AB433">
        <f t="shared" si="53"/>
        <v>258.91999999999996</v>
      </c>
      <c r="AC433" s="8">
        <f t="shared" si="54"/>
        <v>0.30014490233582564</v>
      </c>
      <c r="AD433" t="s">
        <v>111</v>
      </c>
      <c r="AE433" t="s">
        <v>103</v>
      </c>
      <c r="AF433" t="str">
        <f t="shared" si="55"/>
        <v>Perfect Match</v>
      </c>
    </row>
    <row r="434" spans="1:32">
      <c r="A434" t="str">
        <f>IF(OR(I434&lt;0, ISTEXT(W434), ISTEXT(Y434)), "Invalid", IF(OR(B434="Conflicting Duplicate", M434="Unknown", S434="Unknown"), "Warning", "Valid"))</f>
        <v>Valid</v>
      </c>
      <c r="B434" t="str">
        <f t="shared" si="49"/>
        <v>-</v>
      </c>
      <c r="C434" t="s">
        <v>2447</v>
      </c>
      <c r="D434" s="2">
        <v>45450</v>
      </c>
      <c r="E434" t="str">
        <f t="shared" si="50"/>
        <v>June</v>
      </c>
      <c r="F434">
        <f t="shared" si="51"/>
        <v>2024</v>
      </c>
      <c r="G434" s="2">
        <v>45450</v>
      </c>
      <c r="H434" t="s">
        <v>2448</v>
      </c>
      <c r="I434">
        <f t="shared" si="52"/>
        <v>0</v>
      </c>
      <c r="J434" t="s">
        <v>2795</v>
      </c>
      <c r="K434" t="s">
        <v>128</v>
      </c>
      <c r="L434" t="s">
        <v>37</v>
      </c>
      <c r="M434" t="s">
        <v>38</v>
      </c>
      <c r="N434" t="s">
        <v>145</v>
      </c>
      <c r="O434" t="s">
        <v>146</v>
      </c>
      <c r="P434" t="s">
        <v>28</v>
      </c>
      <c r="Q434" t="s">
        <v>48</v>
      </c>
      <c r="R434" t="s">
        <v>2449</v>
      </c>
      <c r="S434" t="s">
        <v>31</v>
      </c>
      <c r="T434">
        <v>1</v>
      </c>
      <c r="U434">
        <v>2581.9299999999998</v>
      </c>
      <c r="V434">
        <v>0.05</v>
      </c>
      <c r="W434">
        <v>0.05</v>
      </c>
      <c r="X434">
        <v>2452.83</v>
      </c>
      <c r="Y434">
        <f t="shared" si="48"/>
        <v>2452.83</v>
      </c>
      <c r="Z434">
        <v>1906.7</v>
      </c>
      <c r="AA434">
        <v>546.13</v>
      </c>
      <c r="AB434">
        <f t="shared" si="53"/>
        <v>546.12999999999988</v>
      </c>
      <c r="AC434" s="8">
        <f t="shared" si="54"/>
        <v>0.22265301712715513</v>
      </c>
      <c r="AD434" t="s">
        <v>32</v>
      </c>
      <c r="AE434" t="s">
        <v>33</v>
      </c>
      <c r="AF434" t="str">
        <f t="shared" si="55"/>
        <v>Perfect Match</v>
      </c>
    </row>
    <row r="435" spans="1:32">
      <c r="A435" t="str">
        <f>IF(OR(I435&lt;0, ISTEXT(W435), ISTEXT(Y435)), "Invalid", IF(OR(B435="Conflicting Duplicate", M435="Unknown", S435="Unknown"), "Warning", "Valid"))</f>
        <v>Valid</v>
      </c>
      <c r="B435" t="str">
        <f t="shared" si="49"/>
        <v>-</v>
      </c>
      <c r="C435" t="s">
        <v>2454</v>
      </c>
      <c r="D435" s="2">
        <v>45435</v>
      </c>
      <c r="E435" t="str">
        <f t="shared" si="50"/>
        <v>May</v>
      </c>
      <c r="F435">
        <f t="shared" si="51"/>
        <v>2024</v>
      </c>
      <c r="G435" s="2">
        <v>45441</v>
      </c>
      <c r="H435" t="s">
        <v>2455</v>
      </c>
      <c r="I435">
        <f t="shared" si="52"/>
        <v>6</v>
      </c>
      <c r="J435" t="s">
        <v>2795</v>
      </c>
      <c r="K435" t="s">
        <v>162</v>
      </c>
      <c r="L435" t="s">
        <v>37</v>
      </c>
      <c r="M435" t="s">
        <v>25</v>
      </c>
      <c r="N435" t="s">
        <v>236</v>
      </c>
      <c r="O435" t="s">
        <v>237</v>
      </c>
      <c r="P435" t="s">
        <v>28</v>
      </c>
      <c r="Q435" t="s">
        <v>124</v>
      </c>
      <c r="R435" t="s">
        <v>2456</v>
      </c>
      <c r="S435" t="s">
        <v>44</v>
      </c>
      <c r="T435">
        <v>2</v>
      </c>
      <c r="U435">
        <v>3012.94</v>
      </c>
      <c r="V435">
        <v>0.25</v>
      </c>
      <c r="W435">
        <v>0.25</v>
      </c>
      <c r="X435">
        <v>4519.41</v>
      </c>
      <c r="Y435">
        <f t="shared" si="48"/>
        <v>4519.41</v>
      </c>
      <c r="Z435">
        <v>3504.16</v>
      </c>
      <c r="AA435">
        <v>1275.55</v>
      </c>
      <c r="AB435">
        <f t="shared" si="53"/>
        <v>1015.25</v>
      </c>
      <c r="AC435" s="8">
        <f t="shared" si="54"/>
        <v>0.22464215461752751</v>
      </c>
      <c r="AD435" t="s">
        <v>155</v>
      </c>
      <c r="AE435" t="s">
        <v>68</v>
      </c>
      <c r="AF435" t="str">
        <f t="shared" si="55"/>
        <v>Mismatch Found</v>
      </c>
    </row>
    <row r="436" spans="1:32">
      <c r="A436" t="str">
        <f>IF(OR(I436&lt;0, ISTEXT(W436), ISTEXT(Y436)), "Invalid", IF(OR(B436="Conflicting Duplicate", M436="Unknown", S436="Unknown"), "Warning", "Valid"))</f>
        <v>Valid</v>
      </c>
      <c r="B436" t="str">
        <f t="shared" si="49"/>
        <v>-</v>
      </c>
      <c r="C436" t="s">
        <v>2460</v>
      </c>
      <c r="D436" s="2">
        <v>45547</v>
      </c>
      <c r="E436" t="str">
        <f t="shared" si="50"/>
        <v>September</v>
      </c>
      <c r="F436">
        <f t="shared" si="51"/>
        <v>2024</v>
      </c>
      <c r="G436" s="2">
        <v>45553</v>
      </c>
      <c r="H436" t="s">
        <v>2461</v>
      </c>
      <c r="I436">
        <f t="shared" si="52"/>
        <v>6</v>
      </c>
      <c r="J436" t="s">
        <v>2795</v>
      </c>
      <c r="K436" t="s">
        <v>62</v>
      </c>
      <c r="L436" t="s">
        <v>95</v>
      </c>
      <c r="M436" t="s">
        <v>38</v>
      </c>
      <c r="N436" t="s">
        <v>145</v>
      </c>
      <c r="O436" t="s">
        <v>146</v>
      </c>
      <c r="P436" t="s">
        <v>28</v>
      </c>
      <c r="Q436" t="s">
        <v>29</v>
      </c>
      <c r="R436" t="s">
        <v>2462</v>
      </c>
      <c r="S436" t="s">
        <v>31</v>
      </c>
      <c r="T436">
        <v>2</v>
      </c>
      <c r="U436">
        <v>3718.77</v>
      </c>
      <c r="V436">
        <v>0.05</v>
      </c>
      <c r="W436">
        <v>0.05</v>
      </c>
      <c r="X436">
        <v>7065.66</v>
      </c>
      <c r="Y436">
        <f t="shared" si="48"/>
        <v>7065.66</v>
      </c>
      <c r="Z436">
        <v>4915.2700000000004</v>
      </c>
      <c r="AA436">
        <v>2150.39</v>
      </c>
      <c r="AB436">
        <f t="shared" si="53"/>
        <v>2150.3899999999994</v>
      </c>
      <c r="AC436" s="8">
        <f t="shared" si="54"/>
        <v>0.30434382633752538</v>
      </c>
      <c r="AD436" t="s">
        <v>32</v>
      </c>
      <c r="AE436" t="s">
        <v>33</v>
      </c>
      <c r="AF436" t="str">
        <f t="shared" si="55"/>
        <v>Perfect Match</v>
      </c>
    </row>
    <row r="437" spans="1:32">
      <c r="A437" s="6" t="str">
        <f>IF(OR(I437&lt;0, ISTEXT(W437), ISTEXT(Y437)), "Invalid", IF(OR(B437="Conflicting Duplicate", M437="Unknown", S437="Unknown"), "Warning", "Valid"))</f>
        <v>Invalid</v>
      </c>
      <c r="B437" t="str">
        <f t="shared" si="49"/>
        <v>-</v>
      </c>
      <c r="C437" t="s">
        <v>2463</v>
      </c>
      <c r="D437" s="2">
        <v>45505</v>
      </c>
      <c r="E437" t="str">
        <f t="shared" si="50"/>
        <v>August</v>
      </c>
      <c r="F437">
        <f t="shared" si="51"/>
        <v>2024</v>
      </c>
      <c r="G437" s="2">
        <v>45330</v>
      </c>
      <c r="H437" t="s">
        <v>2464</v>
      </c>
      <c r="I437" s="7">
        <f t="shared" si="52"/>
        <v>-175</v>
      </c>
      <c r="J437" s="7" t="s">
        <v>2802</v>
      </c>
      <c r="K437" t="s">
        <v>47</v>
      </c>
      <c r="L437" t="s">
        <v>90</v>
      </c>
      <c r="M437" t="s">
        <v>25</v>
      </c>
      <c r="N437" t="s">
        <v>136</v>
      </c>
      <c r="O437" t="s">
        <v>137</v>
      </c>
      <c r="P437" t="s">
        <v>41</v>
      </c>
      <c r="Q437" t="s">
        <v>66</v>
      </c>
      <c r="R437" t="s">
        <v>2465</v>
      </c>
      <c r="S437" t="s">
        <v>59</v>
      </c>
      <c r="T437">
        <v>8</v>
      </c>
      <c r="U437">
        <v>2487.64</v>
      </c>
      <c r="V437">
        <v>0.1</v>
      </c>
      <c r="W437">
        <v>0.1</v>
      </c>
      <c r="X437">
        <v>17911.009999999998</v>
      </c>
      <c r="Y437">
        <f t="shared" si="48"/>
        <v>17911.009999999998</v>
      </c>
      <c r="Z437">
        <v>11546.05</v>
      </c>
      <c r="AA437">
        <v>6364.96</v>
      </c>
      <c r="AB437">
        <f t="shared" si="53"/>
        <v>6364.9599999999991</v>
      </c>
      <c r="AC437" s="8">
        <f t="shared" si="54"/>
        <v>0.35536577780929157</v>
      </c>
      <c r="AD437" t="s">
        <v>155</v>
      </c>
      <c r="AE437" t="s">
        <v>103</v>
      </c>
      <c r="AF437" t="str">
        <f t="shared" si="55"/>
        <v>Perfect Match</v>
      </c>
    </row>
    <row r="438" spans="1:32">
      <c r="A438" t="str">
        <f>IF(OR(I438&lt;0, ISTEXT(W438), ISTEXT(Y438)), "Invalid", IF(OR(B438="Conflicting Duplicate", M438="Unknown", S438="Unknown"), "Warning", "Valid"))</f>
        <v>Valid</v>
      </c>
      <c r="B438" t="str">
        <f t="shared" si="49"/>
        <v>-</v>
      </c>
      <c r="C438" t="s">
        <v>2469</v>
      </c>
      <c r="D438" s="2">
        <v>45443</v>
      </c>
      <c r="E438" t="str">
        <f t="shared" si="50"/>
        <v>May</v>
      </c>
      <c r="F438">
        <f t="shared" si="51"/>
        <v>2024</v>
      </c>
      <c r="G438" s="2">
        <v>45445</v>
      </c>
      <c r="H438" t="s">
        <v>2470</v>
      </c>
      <c r="I438">
        <f t="shared" si="52"/>
        <v>2</v>
      </c>
      <c r="J438" t="s">
        <v>2795</v>
      </c>
      <c r="K438" t="s">
        <v>118</v>
      </c>
      <c r="L438" t="s">
        <v>90</v>
      </c>
      <c r="M438" t="s">
        <v>54</v>
      </c>
      <c r="N438" t="s">
        <v>84</v>
      </c>
      <c r="O438" t="s">
        <v>85</v>
      </c>
      <c r="P438" t="s">
        <v>28</v>
      </c>
      <c r="Q438" t="s">
        <v>48</v>
      </c>
      <c r="R438" t="s">
        <v>2471</v>
      </c>
      <c r="S438" t="s">
        <v>59</v>
      </c>
      <c r="T438">
        <v>8</v>
      </c>
      <c r="U438">
        <v>667.59</v>
      </c>
      <c r="V438">
        <v>0.2</v>
      </c>
      <c r="W438">
        <v>0.2</v>
      </c>
      <c r="X438">
        <v>4272.58</v>
      </c>
      <c r="Y438">
        <f t="shared" si="48"/>
        <v>4272.58</v>
      </c>
      <c r="Z438">
        <v>3328.92</v>
      </c>
      <c r="AA438">
        <v>943.66</v>
      </c>
      <c r="AB438">
        <f t="shared" si="53"/>
        <v>943.65999999999985</v>
      </c>
      <c r="AC438" s="8">
        <f t="shared" si="54"/>
        <v>0.22086420851101674</v>
      </c>
      <c r="AD438" t="s">
        <v>32</v>
      </c>
      <c r="AE438" t="s">
        <v>33</v>
      </c>
      <c r="AF438" t="str">
        <f t="shared" si="55"/>
        <v>Perfect Match</v>
      </c>
    </row>
    <row r="439" spans="1:32">
      <c r="A439" t="str">
        <f>IF(OR(I439&lt;0, ISTEXT(W439), ISTEXT(Y439)), "Invalid", IF(OR(B439="Conflicting Duplicate", M439="Unknown", S439="Unknown"), "Warning", "Valid"))</f>
        <v>Valid</v>
      </c>
      <c r="B439" t="str">
        <f t="shared" si="49"/>
        <v>-</v>
      </c>
      <c r="C439" t="s">
        <v>2472</v>
      </c>
      <c r="D439" s="2">
        <v>45567</v>
      </c>
      <c r="E439" t="str">
        <f t="shared" si="50"/>
        <v>October</v>
      </c>
      <c r="F439">
        <f t="shared" si="51"/>
        <v>2024</v>
      </c>
      <c r="G439" s="2">
        <v>45571</v>
      </c>
      <c r="H439" t="s">
        <v>2473</v>
      </c>
      <c r="I439">
        <f t="shared" si="52"/>
        <v>4</v>
      </c>
      <c r="J439" t="s">
        <v>2795</v>
      </c>
      <c r="K439" t="s">
        <v>118</v>
      </c>
      <c r="L439" t="s">
        <v>95</v>
      </c>
      <c r="M439" t="s">
        <v>54</v>
      </c>
      <c r="N439" t="s">
        <v>175</v>
      </c>
      <c r="O439" t="s">
        <v>176</v>
      </c>
      <c r="P439" t="s">
        <v>41</v>
      </c>
      <c r="Q439" t="s">
        <v>158</v>
      </c>
      <c r="R439" t="s">
        <v>2474</v>
      </c>
      <c r="S439" t="s">
        <v>44</v>
      </c>
      <c r="T439">
        <v>8</v>
      </c>
      <c r="U439">
        <v>1558.77</v>
      </c>
      <c r="V439">
        <v>0.25</v>
      </c>
      <c r="W439">
        <v>0.25</v>
      </c>
      <c r="X439">
        <v>9352.6200000000008</v>
      </c>
      <c r="Y439">
        <f t="shared" si="48"/>
        <v>9352.6200000000008</v>
      </c>
      <c r="Z439">
        <v>5269.41</v>
      </c>
      <c r="AA439">
        <v>4083.21</v>
      </c>
      <c r="AB439">
        <f t="shared" si="53"/>
        <v>4083.2100000000009</v>
      </c>
      <c r="AC439" s="8">
        <f t="shared" si="54"/>
        <v>0.43658461479243255</v>
      </c>
      <c r="AD439" t="s">
        <v>32</v>
      </c>
      <c r="AE439" t="s">
        <v>33</v>
      </c>
      <c r="AF439" t="str">
        <f t="shared" si="55"/>
        <v>Perfect Match</v>
      </c>
    </row>
    <row r="440" spans="1:32">
      <c r="A440" t="str">
        <f>IF(OR(I440&lt;0, ISTEXT(W440), ISTEXT(Y440)), "Invalid", IF(OR(B440="Conflicting Duplicate", M440="Unknown", S440="Unknown"), "Warning", "Valid"))</f>
        <v>Valid</v>
      </c>
      <c r="B440" t="str">
        <f t="shared" si="49"/>
        <v>-</v>
      </c>
      <c r="C440" t="s">
        <v>2478</v>
      </c>
      <c r="D440" s="2">
        <v>45440</v>
      </c>
      <c r="E440" t="str">
        <f t="shared" si="50"/>
        <v>May</v>
      </c>
      <c r="F440">
        <f t="shared" si="51"/>
        <v>2024</v>
      </c>
      <c r="G440" s="2">
        <v>45446</v>
      </c>
      <c r="H440" t="s">
        <v>2479</v>
      </c>
      <c r="I440">
        <f t="shared" si="52"/>
        <v>6</v>
      </c>
      <c r="J440" t="s">
        <v>2795</v>
      </c>
      <c r="K440" t="s">
        <v>71</v>
      </c>
      <c r="L440" t="s">
        <v>90</v>
      </c>
      <c r="M440" t="s">
        <v>25</v>
      </c>
      <c r="N440" t="s">
        <v>26</v>
      </c>
      <c r="O440" t="s">
        <v>27</v>
      </c>
      <c r="P440" t="s">
        <v>74</v>
      </c>
      <c r="Q440" t="s">
        <v>80</v>
      </c>
      <c r="R440" t="s">
        <v>2480</v>
      </c>
      <c r="S440" t="s">
        <v>31</v>
      </c>
      <c r="T440">
        <v>5</v>
      </c>
      <c r="U440">
        <v>4302.32</v>
      </c>
      <c r="V440">
        <v>0</v>
      </c>
      <c r="W440">
        <v>0</v>
      </c>
      <c r="X440">
        <v>21511.599999999999</v>
      </c>
      <c r="Y440">
        <f t="shared" si="48"/>
        <v>21511.599999999999</v>
      </c>
      <c r="Z440">
        <v>15408.47</v>
      </c>
      <c r="AA440">
        <v>6103.13</v>
      </c>
      <c r="AB440">
        <f t="shared" si="53"/>
        <v>6103.1299999999992</v>
      </c>
      <c r="AC440" s="8">
        <f t="shared" si="54"/>
        <v>0.28371343833094703</v>
      </c>
      <c r="AD440" t="s">
        <v>32</v>
      </c>
      <c r="AE440" t="s">
        <v>33</v>
      </c>
      <c r="AF440" t="str">
        <f t="shared" si="55"/>
        <v>Perfect Match</v>
      </c>
    </row>
    <row r="441" spans="1:32">
      <c r="A441" t="str">
        <f>IF(OR(I441&lt;0, ISTEXT(W441), ISTEXT(Y441)), "Invalid", IF(OR(B441="Conflicting Duplicate", M441="Unknown", S441="Unknown"), "Warning", "Valid"))</f>
        <v>Valid</v>
      </c>
      <c r="B441" t="str">
        <f t="shared" si="49"/>
        <v>-</v>
      </c>
      <c r="C441" t="s">
        <v>2484</v>
      </c>
      <c r="D441" s="2">
        <v>45503</v>
      </c>
      <c r="E441" t="str">
        <f t="shared" si="50"/>
        <v>July</v>
      </c>
      <c r="F441">
        <f t="shared" si="51"/>
        <v>2024</v>
      </c>
      <c r="G441" s="2">
        <v>45503</v>
      </c>
      <c r="H441" t="s">
        <v>2485</v>
      </c>
      <c r="I441">
        <f t="shared" si="52"/>
        <v>0</v>
      </c>
      <c r="J441" t="s">
        <v>2795</v>
      </c>
      <c r="K441" t="s">
        <v>162</v>
      </c>
      <c r="L441" t="s">
        <v>95</v>
      </c>
      <c r="M441" t="s">
        <v>38</v>
      </c>
      <c r="N441" t="s">
        <v>39</v>
      </c>
      <c r="O441" t="s">
        <v>40</v>
      </c>
      <c r="P441" t="s">
        <v>74</v>
      </c>
      <c r="Q441" t="s">
        <v>80</v>
      </c>
      <c r="R441" t="s">
        <v>2486</v>
      </c>
      <c r="S441" t="s">
        <v>44</v>
      </c>
      <c r="T441">
        <v>9</v>
      </c>
      <c r="U441">
        <v>2894.66</v>
      </c>
      <c r="V441">
        <v>0</v>
      </c>
      <c r="W441">
        <v>0</v>
      </c>
      <c r="X441">
        <v>26051.94</v>
      </c>
      <c r="Y441">
        <f t="shared" si="48"/>
        <v>26051.94</v>
      </c>
      <c r="Z441">
        <v>16883.59</v>
      </c>
      <c r="AA441">
        <v>9168.35</v>
      </c>
      <c r="AB441">
        <f t="shared" si="53"/>
        <v>9168.3499999999985</v>
      </c>
      <c r="AC441" s="8">
        <f t="shared" si="54"/>
        <v>0.3519258066769691</v>
      </c>
      <c r="AD441" t="s">
        <v>102</v>
      </c>
      <c r="AE441" t="s">
        <v>68</v>
      </c>
      <c r="AF441" t="str">
        <f t="shared" si="55"/>
        <v>Perfect Match</v>
      </c>
    </row>
    <row r="442" spans="1:32">
      <c r="A442" t="str">
        <f>IF(OR(I442&lt;0, ISTEXT(W442), ISTEXT(Y442)), "Invalid", IF(OR(B442="Conflicting Duplicate", M442="Unknown", S442="Unknown"), "Warning", "Valid"))</f>
        <v>Valid</v>
      </c>
      <c r="B442" t="str">
        <f t="shared" si="49"/>
        <v>-</v>
      </c>
      <c r="C442" t="s">
        <v>2487</v>
      </c>
      <c r="D442" s="2">
        <v>45374</v>
      </c>
      <c r="E442" t="str">
        <f t="shared" si="50"/>
        <v>March</v>
      </c>
      <c r="F442">
        <f t="shared" si="51"/>
        <v>2024</v>
      </c>
      <c r="G442" s="2">
        <v>45381</v>
      </c>
      <c r="H442" t="s">
        <v>2488</v>
      </c>
      <c r="I442">
        <f t="shared" si="52"/>
        <v>7</v>
      </c>
      <c r="J442" t="s">
        <v>2795</v>
      </c>
      <c r="K442" t="s">
        <v>141</v>
      </c>
      <c r="L442" t="s">
        <v>37</v>
      </c>
      <c r="M442" t="s">
        <v>54</v>
      </c>
      <c r="N442" t="s">
        <v>84</v>
      </c>
      <c r="O442" t="s">
        <v>85</v>
      </c>
      <c r="P442" t="s">
        <v>74</v>
      </c>
      <c r="Q442" t="s">
        <v>274</v>
      </c>
      <c r="R442" t="s">
        <v>2489</v>
      </c>
      <c r="S442" t="s">
        <v>50</v>
      </c>
      <c r="T442">
        <v>6</v>
      </c>
      <c r="U442">
        <v>1894.44</v>
      </c>
      <c r="V442">
        <v>0.15</v>
      </c>
      <c r="W442">
        <v>0.15</v>
      </c>
      <c r="X442">
        <v>9661.64</v>
      </c>
      <c r="Y442">
        <f t="shared" si="48"/>
        <v>9661.64</v>
      </c>
      <c r="Z442">
        <v>6303.77</v>
      </c>
      <c r="AA442">
        <v>3357.87</v>
      </c>
      <c r="AB442">
        <f t="shared" si="53"/>
        <v>3357.869999999999</v>
      </c>
      <c r="AC442" s="8">
        <f t="shared" si="54"/>
        <v>0.34754658629383822</v>
      </c>
      <c r="AD442" t="s">
        <v>32</v>
      </c>
      <c r="AE442" t="s">
        <v>33</v>
      </c>
      <c r="AF442" t="str">
        <f t="shared" si="55"/>
        <v>Perfect Match</v>
      </c>
    </row>
    <row r="443" spans="1:32">
      <c r="A443" t="str">
        <f>IF(OR(I443&lt;0, ISTEXT(W443), ISTEXT(Y443)), "Invalid", IF(OR(B443="Conflicting Duplicate", M443="Unknown", S443="Unknown"), "Warning", "Valid"))</f>
        <v>Valid</v>
      </c>
      <c r="B443" t="str">
        <f t="shared" si="49"/>
        <v>-</v>
      </c>
      <c r="C443" t="s">
        <v>2490</v>
      </c>
      <c r="D443" s="2">
        <v>45400</v>
      </c>
      <c r="E443" t="str">
        <f t="shared" si="50"/>
        <v>April</v>
      </c>
      <c r="F443">
        <f t="shared" si="51"/>
        <v>2024</v>
      </c>
      <c r="G443" s="2">
        <v>45404</v>
      </c>
      <c r="H443" t="s">
        <v>2491</v>
      </c>
      <c r="I443">
        <f t="shared" si="52"/>
        <v>4</v>
      </c>
      <c r="J443" t="s">
        <v>2795</v>
      </c>
      <c r="K443" t="s">
        <v>128</v>
      </c>
      <c r="L443" t="s">
        <v>24</v>
      </c>
      <c r="M443" t="s">
        <v>38</v>
      </c>
      <c r="N443" t="s">
        <v>39</v>
      </c>
      <c r="O443" t="s">
        <v>40</v>
      </c>
      <c r="P443" t="s">
        <v>28</v>
      </c>
      <c r="Q443" t="s">
        <v>153</v>
      </c>
      <c r="R443" t="s">
        <v>2492</v>
      </c>
      <c r="S443" t="s">
        <v>50</v>
      </c>
      <c r="T443">
        <v>8</v>
      </c>
      <c r="U443">
        <v>1714.37</v>
      </c>
      <c r="V443">
        <v>0</v>
      </c>
      <c r="W443">
        <v>0</v>
      </c>
      <c r="X443">
        <v>13714.96</v>
      </c>
      <c r="Y443">
        <f t="shared" si="48"/>
        <v>13714.96</v>
      </c>
      <c r="Z443">
        <v>10550.47</v>
      </c>
      <c r="AA443">
        <v>3164.49</v>
      </c>
      <c r="AB443">
        <f t="shared" si="53"/>
        <v>3164.49</v>
      </c>
      <c r="AC443" s="8">
        <f t="shared" si="54"/>
        <v>0.23073271814135804</v>
      </c>
      <c r="AD443" t="s">
        <v>155</v>
      </c>
      <c r="AE443" t="s">
        <v>68</v>
      </c>
      <c r="AF443" t="str">
        <f t="shared" si="55"/>
        <v>Perfect Match</v>
      </c>
    </row>
    <row r="444" spans="1:32">
      <c r="A444" s="6" t="str">
        <f>IF(OR(I444&lt;0, ISTEXT(W444), ISTEXT(Y444)), "Invalid", IF(OR(B444="Conflicting Duplicate", M444="Unknown", S444="Unknown"), "Warning", "Valid"))</f>
        <v>Warning</v>
      </c>
      <c r="B444" t="str">
        <f t="shared" si="49"/>
        <v>-</v>
      </c>
      <c r="C444" t="s">
        <v>2496</v>
      </c>
      <c r="D444" s="2">
        <v>45575</v>
      </c>
      <c r="E444" t="str">
        <f t="shared" si="50"/>
        <v>October</v>
      </c>
      <c r="F444">
        <f t="shared" si="51"/>
        <v>2024</v>
      </c>
      <c r="G444" s="2">
        <v>45582</v>
      </c>
      <c r="H444" t="s">
        <v>2497</v>
      </c>
      <c r="I444">
        <f t="shared" si="52"/>
        <v>7</v>
      </c>
      <c r="J444" t="s">
        <v>2795</v>
      </c>
      <c r="K444" t="s">
        <v>47</v>
      </c>
      <c r="L444" t="s">
        <v>95</v>
      </c>
      <c r="M444" t="s">
        <v>25</v>
      </c>
      <c r="N444" t="s">
        <v>236</v>
      </c>
      <c r="O444" t="s">
        <v>237</v>
      </c>
      <c r="P444" t="s">
        <v>74</v>
      </c>
      <c r="Q444" t="s">
        <v>75</v>
      </c>
      <c r="R444" t="s">
        <v>2498</v>
      </c>
      <c r="S444" s="4" t="s">
        <v>2790</v>
      </c>
      <c r="T444">
        <v>5</v>
      </c>
      <c r="U444">
        <v>967.41</v>
      </c>
      <c r="V444">
        <v>0.05</v>
      </c>
      <c r="W444">
        <v>0.05</v>
      </c>
      <c r="X444">
        <v>4595.2</v>
      </c>
      <c r="Y444">
        <f t="shared" si="48"/>
        <v>4595.2</v>
      </c>
      <c r="Z444">
        <v>3887.41</v>
      </c>
      <c r="AA444">
        <v>707.79</v>
      </c>
      <c r="AB444">
        <f t="shared" si="53"/>
        <v>707.79</v>
      </c>
      <c r="AC444" s="8">
        <f t="shared" si="54"/>
        <v>0.15402811629526461</v>
      </c>
      <c r="AD444" t="s">
        <v>32</v>
      </c>
      <c r="AE444" t="s">
        <v>103</v>
      </c>
      <c r="AF444" t="str">
        <f t="shared" si="55"/>
        <v>Perfect Match</v>
      </c>
    </row>
    <row r="445" spans="1:32">
      <c r="A445" t="str">
        <f>IF(OR(I445&lt;0, ISTEXT(W445), ISTEXT(Y445)), "Invalid", IF(OR(B445="Conflicting Duplicate", M445="Unknown", S445="Unknown"), "Warning", "Valid"))</f>
        <v>Valid</v>
      </c>
      <c r="B445" t="str">
        <f t="shared" si="49"/>
        <v>-</v>
      </c>
      <c r="C445" t="s">
        <v>2499</v>
      </c>
      <c r="D445" s="2">
        <v>45352</v>
      </c>
      <c r="E445" t="str">
        <f t="shared" si="50"/>
        <v>March</v>
      </c>
      <c r="F445">
        <f t="shared" si="51"/>
        <v>2024</v>
      </c>
      <c r="G445" s="2">
        <v>45358</v>
      </c>
      <c r="H445" t="s">
        <v>2500</v>
      </c>
      <c r="I445">
        <f t="shared" si="52"/>
        <v>6</v>
      </c>
      <c r="J445" t="s">
        <v>2795</v>
      </c>
      <c r="K445" t="s">
        <v>71</v>
      </c>
      <c r="L445" t="s">
        <v>37</v>
      </c>
      <c r="M445" t="s">
        <v>63</v>
      </c>
      <c r="N445" t="s">
        <v>64</v>
      </c>
      <c r="O445" t="s">
        <v>65</v>
      </c>
      <c r="P445" t="s">
        <v>28</v>
      </c>
      <c r="Q445" t="s">
        <v>124</v>
      </c>
      <c r="R445" t="s">
        <v>2501</v>
      </c>
      <c r="S445" t="s">
        <v>31</v>
      </c>
      <c r="T445">
        <v>6</v>
      </c>
      <c r="U445">
        <v>4163.72</v>
      </c>
      <c r="V445">
        <v>0.15</v>
      </c>
      <c r="W445">
        <v>0.15</v>
      </c>
      <c r="X445">
        <v>21234.97</v>
      </c>
      <c r="Y445">
        <f t="shared" si="48"/>
        <v>21234.97</v>
      </c>
      <c r="Z445">
        <v>16736.09</v>
      </c>
      <c r="AA445">
        <v>4498.88</v>
      </c>
      <c r="AB445">
        <f t="shared" si="53"/>
        <v>4498.880000000001</v>
      </c>
      <c r="AC445" s="8">
        <f t="shared" si="54"/>
        <v>0.21186184863929644</v>
      </c>
      <c r="AD445" t="s">
        <v>32</v>
      </c>
      <c r="AE445" t="s">
        <v>33</v>
      </c>
      <c r="AF445" t="str">
        <f t="shared" si="55"/>
        <v>Perfect Match</v>
      </c>
    </row>
    <row r="446" spans="1:32">
      <c r="A446" s="6" t="str">
        <f>IF(OR(I446&lt;0, ISTEXT(W446), ISTEXT(Y446)), "Invalid", IF(OR(B446="Conflicting Duplicate", M446="Unknown", S446="Unknown"), "Warning", "Valid"))</f>
        <v>Warning</v>
      </c>
      <c r="B446" t="str">
        <f t="shared" si="49"/>
        <v>-</v>
      </c>
      <c r="C446" t="s">
        <v>2509</v>
      </c>
      <c r="D446" s="2">
        <v>45635</v>
      </c>
      <c r="E446" t="str">
        <f t="shared" si="50"/>
        <v>December</v>
      </c>
      <c r="F446">
        <f t="shared" si="51"/>
        <v>2024</v>
      </c>
      <c r="G446" s="2">
        <v>45639</v>
      </c>
      <c r="H446" t="s">
        <v>2510</v>
      </c>
      <c r="I446">
        <f t="shared" si="52"/>
        <v>4</v>
      </c>
      <c r="J446" t="s">
        <v>2795</v>
      </c>
      <c r="K446" t="s">
        <v>141</v>
      </c>
      <c r="L446" t="s">
        <v>24</v>
      </c>
      <c r="M446" s="4" t="s">
        <v>2790</v>
      </c>
      <c r="N446" t="s">
        <v>228</v>
      </c>
      <c r="O446" t="s">
        <v>229</v>
      </c>
      <c r="P446" t="s">
        <v>28</v>
      </c>
      <c r="Q446" t="s">
        <v>91</v>
      </c>
      <c r="R446" t="s">
        <v>2511</v>
      </c>
      <c r="S446" t="s">
        <v>50</v>
      </c>
      <c r="T446">
        <v>1</v>
      </c>
      <c r="U446">
        <v>4306.6499999999996</v>
      </c>
      <c r="V446">
        <v>0</v>
      </c>
      <c r="W446">
        <v>0</v>
      </c>
      <c r="X446">
        <v>4306.6499999999996</v>
      </c>
      <c r="Y446">
        <f t="shared" si="48"/>
        <v>4306.6499999999996</v>
      </c>
      <c r="Z446">
        <v>2568.8200000000002</v>
      </c>
      <c r="AA446">
        <v>1737.83</v>
      </c>
      <c r="AB446">
        <f t="shared" si="53"/>
        <v>1737.8299999999995</v>
      </c>
      <c r="AC446" s="8">
        <f t="shared" si="54"/>
        <v>0.40352245945224235</v>
      </c>
      <c r="AD446" t="s">
        <v>32</v>
      </c>
      <c r="AE446" t="s">
        <v>33</v>
      </c>
      <c r="AF446" t="str">
        <f t="shared" si="55"/>
        <v>Perfect Match</v>
      </c>
    </row>
    <row r="447" spans="1:32">
      <c r="A447" t="str">
        <f>IF(OR(I447&lt;0, ISTEXT(W447), ISTEXT(Y447)), "Invalid", IF(OR(B447="Conflicting Duplicate", M447="Unknown", S447="Unknown"), "Warning", "Valid"))</f>
        <v>Valid</v>
      </c>
      <c r="B447" t="str">
        <f t="shared" si="49"/>
        <v>-</v>
      </c>
      <c r="C447" t="s">
        <v>2517</v>
      </c>
      <c r="D447" s="2">
        <v>45546</v>
      </c>
      <c r="E447" t="str">
        <f t="shared" si="50"/>
        <v>September</v>
      </c>
      <c r="F447">
        <f t="shared" si="51"/>
        <v>2024</v>
      </c>
      <c r="G447" s="2">
        <v>45611</v>
      </c>
      <c r="H447" t="s">
        <v>2518</v>
      </c>
      <c r="I447">
        <f t="shared" si="52"/>
        <v>65</v>
      </c>
      <c r="J447" t="s">
        <v>2795</v>
      </c>
      <c r="K447" t="s">
        <v>47</v>
      </c>
      <c r="L447" t="s">
        <v>95</v>
      </c>
      <c r="M447" t="s">
        <v>25</v>
      </c>
      <c r="N447" t="s">
        <v>26</v>
      </c>
      <c r="O447" t="s">
        <v>27</v>
      </c>
      <c r="P447" t="s">
        <v>74</v>
      </c>
      <c r="Q447" t="s">
        <v>80</v>
      </c>
      <c r="R447" t="s">
        <v>2519</v>
      </c>
      <c r="S447" t="s">
        <v>59</v>
      </c>
      <c r="T447">
        <v>1</v>
      </c>
      <c r="U447">
        <v>3665.97</v>
      </c>
      <c r="V447">
        <v>0.2</v>
      </c>
      <c r="W447">
        <v>0.2</v>
      </c>
      <c r="X447">
        <v>2932.78</v>
      </c>
      <c r="Y447">
        <f t="shared" si="48"/>
        <v>2932.78</v>
      </c>
      <c r="Z447">
        <v>1900.35</v>
      </c>
      <c r="AA447">
        <v>1032.43</v>
      </c>
      <c r="AB447">
        <f t="shared" si="53"/>
        <v>1032.4300000000003</v>
      </c>
      <c r="AC447" s="8">
        <f t="shared" si="54"/>
        <v>0.35203117860869215</v>
      </c>
      <c r="AD447" t="s">
        <v>155</v>
      </c>
      <c r="AE447" t="s">
        <v>68</v>
      </c>
      <c r="AF447" t="str">
        <f t="shared" si="55"/>
        <v>Perfect Match</v>
      </c>
    </row>
    <row r="448" spans="1:32">
      <c r="A448" t="str">
        <f>IF(OR(I448&lt;0, ISTEXT(W448), ISTEXT(Y448)), "Invalid", IF(OR(B448="Conflicting Duplicate", M448="Unknown", S448="Unknown"), "Warning", "Valid"))</f>
        <v>Valid</v>
      </c>
      <c r="B448" t="str">
        <f t="shared" si="49"/>
        <v>-</v>
      </c>
      <c r="C448" t="s">
        <v>2529</v>
      </c>
      <c r="D448" s="2">
        <v>45385</v>
      </c>
      <c r="E448" t="str">
        <f t="shared" si="50"/>
        <v>April</v>
      </c>
      <c r="F448">
        <f t="shared" si="51"/>
        <v>2024</v>
      </c>
      <c r="G448" s="2">
        <v>45508</v>
      </c>
      <c r="H448" t="s">
        <v>1686</v>
      </c>
      <c r="I448">
        <f t="shared" si="52"/>
        <v>123</v>
      </c>
      <c r="J448" t="s">
        <v>2795</v>
      </c>
      <c r="K448" t="s">
        <v>264</v>
      </c>
      <c r="L448" t="s">
        <v>95</v>
      </c>
      <c r="M448" t="s">
        <v>63</v>
      </c>
      <c r="N448" t="s">
        <v>180</v>
      </c>
      <c r="O448" t="s">
        <v>181</v>
      </c>
      <c r="P448" t="s">
        <v>74</v>
      </c>
      <c r="Q448" t="s">
        <v>80</v>
      </c>
      <c r="R448" t="s">
        <v>2530</v>
      </c>
      <c r="S448" t="s">
        <v>50</v>
      </c>
      <c r="T448">
        <v>1</v>
      </c>
      <c r="U448">
        <v>3151.85</v>
      </c>
      <c r="V448">
        <v>0.25</v>
      </c>
      <c r="W448">
        <v>0.25</v>
      </c>
      <c r="X448">
        <v>2363.89</v>
      </c>
      <c r="Y448">
        <f t="shared" si="48"/>
        <v>2363.89</v>
      </c>
      <c r="Z448">
        <v>1471.51</v>
      </c>
      <c r="AA448">
        <v>892.38</v>
      </c>
      <c r="AB448">
        <f t="shared" si="53"/>
        <v>892.37999999999988</v>
      </c>
      <c r="AC448" s="8">
        <f t="shared" si="54"/>
        <v>0.37750487543836642</v>
      </c>
      <c r="AD448" t="s">
        <v>32</v>
      </c>
      <c r="AE448" t="s">
        <v>33</v>
      </c>
      <c r="AF448" t="str">
        <f t="shared" si="55"/>
        <v>Perfect Match</v>
      </c>
    </row>
    <row r="449" spans="1:32">
      <c r="A449" t="str">
        <f>IF(OR(I449&lt;0, ISTEXT(W449), ISTEXT(Y449)), "Invalid", IF(OR(B449="Conflicting Duplicate", M449="Unknown", S449="Unknown"), "Warning", "Valid"))</f>
        <v>Valid</v>
      </c>
      <c r="B449" t="str">
        <f t="shared" si="49"/>
        <v>-</v>
      </c>
      <c r="C449" t="s">
        <v>2531</v>
      </c>
      <c r="D449" s="2">
        <v>45638</v>
      </c>
      <c r="E449" t="str">
        <f t="shared" si="50"/>
        <v>December</v>
      </c>
      <c r="F449">
        <f t="shared" si="51"/>
        <v>2024</v>
      </c>
      <c r="G449" s="2">
        <v>45645</v>
      </c>
      <c r="H449" t="s">
        <v>2532</v>
      </c>
      <c r="I449">
        <f t="shared" si="52"/>
        <v>7</v>
      </c>
      <c r="J449" t="s">
        <v>2795</v>
      </c>
      <c r="K449" t="s">
        <v>141</v>
      </c>
      <c r="L449" t="s">
        <v>95</v>
      </c>
      <c r="M449" t="s">
        <v>25</v>
      </c>
      <c r="N449" t="s">
        <v>236</v>
      </c>
      <c r="O449" t="s">
        <v>237</v>
      </c>
      <c r="P449" t="s">
        <v>74</v>
      </c>
      <c r="Q449" t="s">
        <v>75</v>
      </c>
      <c r="R449" t="s">
        <v>2533</v>
      </c>
      <c r="S449" t="s">
        <v>50</v>
      </c>
      <c r="T449">
        <v>2</v>
      </c>
      <c r="U449">
        <v>1610.75</v>
      </c>
      <c r="V449">
        <v>0.2</v>
      </c>
      <c r="W449">
        <v>0.2</v>
      </c>
      <c r="X449">
        <v>2577.1999999999998</v>
      </c>
      <c r="Y449">
        <f t="shared" si="48"/>
        <v>2577.1999999999998</v>
      </c>
      <c r="Z449">
        <v>1475.87</v>
      </c>
      <c r="AA449">
        <v>1101.33</v>
      </c>
      <c r="AB449">
        <f t="shared" si="53"/>
        <v>1101.33</v>
      </c>
      <c r="AC449" s="8">
        <f t="shared" si="54"/>
        <v>0.42733586838429305</v>
      </c>
      <c r="AD449" t="s">
        <v>32</v>
      </c>
      <c r="AE449" t="s">
        <v>33</v>
      </c>
      <c r="AF449" t="str">
        <f t="shared" si="55"/>
        <v>Perfect Match</v>
      </c>
    </row>
    <row r="450" spans="1:32">
      <c r="A450" t="str">
        <f>IF(OR(I450&lt;0, ISTEXT(W450), ISTEXT(Y450)), "Invalid", IF(OR(B450="Conflicting Duplicate", M450="Unknown", S450="Unknown"), "Warning", "Valid"))</f>
        <v>Valid</v>
      </c>
      <c r="B450" t="str">
        <f t="shared" si="49"/>
        <v>-</v>
      </c>
      <c r="C450" t="s">
        <v>2534</v>
      </c>
      <c r="D450" s="2">
        <v>45458</v>
      </c>
      <c r="E450" t="str">
        <f t="shared" si="50"/>
        <v>June</v>
      </c>
      <c r="F450">
        <f t="shared" si="51"/>
        <v>2024</v>
      </c>
      <c r="G450" s="2">
        <v>45463</v>
      </c>
      <c r="H450" t="s">
        <v>2535</v>
      </c>
      <c r="I450">
        <f t="shared" si="52"/>
        <v>5</v>
      </c>
      <c r="J450" t="s">
        <v>2795</v>
      </c>
      <c r="K450" t="s">
        <v>132</v>
      </c>
      <c r="L450" t="s">
        <v>37</v>
      </c>
      <c r="M450" t="s">
        <v>38</v>
      </c>
      <c r="N450" t="s">
        <v>228</v>
      </c>
      <c r="O450" t="s">
        <v>229</v>
      </c>
      <c r="P450" t="s">
        <v>41</v>
      </c>
      <c r="Q450" t="s">
        <v>42</v>
      </c>
      <c r="R450" t="s">
        <v>2536</v>
      </c>
      <c r="S450" t="s">
        <v>50</v>
      </c>
      <c r="T450">
        <v>8</v>
      </c>
      <c r="U450">
        <v>2228.4699999999998</v>
      </c>
      <c r="V450">
        <v>0</v>
      </c>
      <c r="W450">
        <v>0</v>
      </c>
      <c r="X450">
        <v>17827.759999999998</v>
      </c>
      <c r="Y450">
        <f t="shared" ref="Y450:Y513" si="56">IF(ISTEXT(W450), "Cannot Calculate", ROUND(T450 * U450 * (1 - W450), 2))</f>
        <v>17827.759999999998</v>
      </c>
      <c r="Z450">
        <v>14122.13</v>
      </c>
      <c r="AA450">
        <v>3705.63</v>
      </c>
      <c r="AB450">
        <f t="shared" si="53"/>
        <v>3705.6299999999992</v>
      </c>
      <c r="AC450" s="8">
        <f t="shared" si="54"/>
        <v>0.20785729671029896</v>
      </c>
      <c r="AD450" t="s">
        <v>32</v>
      </c>
      <c r="AE450" t="s">
        <v>33</v>
      </c>
      <c r="AF450" t="str">
        <f t="shared" si="55"/>
        <v>Perfect Match</v>
      </c>
    </row>
    <row r="451" spans="1:32">
      <c r="A451" t="str">
        <f>IF(OR(I451&lt;0, ISTEXT(W451), ISTEXT(Y451)), "Invalid", IF(OR(B451="Conflicting Duplicate", M451="Unknown", S451="Unknown"), "Warning", "Valid"))</f>
        <v>Valid</v>
      </c>
      <c r="B451" t="str">
        <f t="shared" ref="B451:B514" si="57">IF(COUNTIF(C:C, C451)&gt;1, "Conflicting Duplicate", "-")</f>
        <v>-</v>
      </c>
      <c r="C451" t="s">
        <v>2542</v>
      </c>
      <c r="D451" s="2">
        <v>45383</v>
      </c>
      <c r="E451" t="str">
        <f t="shared" ref="E451:E514" si="58">TEXT(D451, "mmmm")</f>
        <v>April</v>
      </c>
      <c r="F451">
        <f t="shared" ref="F451:F514" si="59">YEAR(D451)</f>
        <v>2024</v>
      </c>
      <c r="G451" s="2">
        <v>45390</v>
      </c>
      <c r="H451" t="s">
        <v>2543</v>
      </c>
      <c r="I451">
        <f t="shared" ref="I451:I514" si="60">G451-D451</f>
        <v>7</v>
      </c>
      <c r="J451" t="s">
        <v>2795</v>
      </c>
      <c r="K451" t="s">
        <v>162</v>
      </c>
      <c r="L451" t="s">
        <v>24</v>
      </c>
      <c r="M451" t="s">
        <v>38</v>
      </c>
      <c r="N451" t="s">
        <v>39</v>
      </c>
      <c r="O451" t="s">
        <v>40</v>
      </c>
      <c r="P451" t="s">
        <v>74</v>
      </c>
      <c r="Q451" t="s">
        <v>274</v>
      </c>
      <c r="R451" t="s">
        <v>2544</v>
      </c>
      <c r="S451" t="s">
        <v>59</v>
      </c>
      <c r="T451">
        <v>7</v>
      </c>
      <c r="U451">
        <v>715.81</v>
      </c>
      <c r="V451">
        <v>0.15</v>
      </c>
      <c r="W451">
        <v>0.15</v>
      </c>
      <c r="X451">
        <v>4259.07</v>
      </c>
      <c r="Y451">
        <f t="shared" si="56"/>
        <v>4259.07</v>
      </c>
      <c r="Z451">
        <v>3130.32</v>
      </c>
      <c r="AA451">
        <v>1128.75</v>
      </c>
      <c r="AB451">
        <f t="shared" ref="AB451:AB514" si="61">IF(ISTEXT(Y451), "Cannot Calculate", Y451 - Z451)</f>
        <v>1128.7499999999995</v>
      </c>
      <c r="AC451" s="8">
        <f t="shared" ref="AC451:AC514" si="62">IFERROR(AB451 / Y451, 0)</f>
        <v>0.2650226457888693</v>
      </c>
      <c r="AD451" t="s">
        <v>111</v>
      </c>
      <c r="AE451" t="s">
        <v>68</v>
      </c>
      <c r="AF451" t="str">
        <f t="shared" ref="AF451:AF514" si="63">IF(OR(ISTEXT(Z451), ISTEXT(AB451)), "Calculation Blocked", IF(OR(ROUND(X451, 2) &lt;&gt; ROUND(Y451, 2), ROUND(AA451, 2) &lt;&gt; ROUND(AB451, 2)), "Mismatch Found", "Perfect Match"))</f>
        <v>Perfect Match</v>
      </c>
    </row>
    <row r="452" spans="1:32">
      <c r="A452" t="str">
        <f>IF(OR(I452&lt;0, ISTEXT(W452), ISTEXT(Y452)), "Invalid", IF(OR(B452="Conflicting Duplicate", M452="Unknown", S452="Unknown"), "Warning", "Valid"))</f>
        <v>Valid</v>
      </c>
      <c r="B452" t="str">
        <f t="shared" si="57"/>
        <v>-</v>
      </c>
      <c r="C452" t="s">
        <v>2545</v>
      </c>
      <c r="D452" s="2">
        <v>45623</v>
      </c>
      <c r="E452" t="str">
        <f t="shared" si="58"/>
        <v>November</v>
      </c>
      <c r="F452">
        <f t="shared" si="59"/>
        <v>2024</v>
      </c>
      <c r="G452" s="2">
        <v>45626</v>
      </c>
      <c r="H452" t="s">
        <v>2546</v>
      </c>
      <c r="I452">
        <f t="shared" si="60"/>
        <v>3</v>
      </c>
      <c r="J452" t="s">
        <v>2795</v>
      </c>
      <c r="K452" t="s">
        <v>118</v>
      </c>
      <c r="L452" t="s">
        <v>37</v>
      </c>
      <c r="M452" t="s">
        <v>38</v>
      </c>
      <c r="N452" t="s">
        <v>228</v>
      </c>
      <c r="O452" t="s">
        <v>229</v>
      </c>
      <c r="P452" t="s">
        <v>41</v>
      </c>
      <c r="Q452" t="s">
        <v>57</v>
      </c>
      <c r="R452" t="s">
        <v>2547</v>
      </c>
      <c r="S452" t="s">
        <v>50</v>
      </c>
      <c r="T452">
        <v>1</v>
      </c>
      <c r="U452">
        <v>874.3</v>
      </c>
      <c r="V452">
        <v>0.1</v>
      </c>
      <c r="W452">
        <v>0.1</v>
      </c>
      <c r="X452">
        <v>786.87</v>
      </c>
      <c r="Y452">
        <f t="shared" si="56"/>
        <v>786.87</v>
      </c>
      <c r="Z452">
        <v>498.5</v>
      </c>
      <c r="AA452">
        <v>288.37</v>
      </c>
      <c r="AB452">
        <f t="shared" si="61"/>
        <v>288.37</v>
      </c>
      <c r="AC452" s="8">
        <f t="shared" si="62"/>
        <v>0.36647730883119195</v>
      </c>
      <c r="AD452" t="s">
        <v>32</v>
      </c>
      <c r="AE452" t="s">
        <v>33</v>
      </c>
      <c r="AF452" t="str">
        <f t="shared" si="63"/>
        <v>Perfect Match</v>
      </c>
    </row>
    <row r="453" spans="1:32">
      <c r="A453" s="6" t="str">
        <f>IF(OR(I453&lt;0, ISTEXT(W453), ISTEXT(Y453)), "Invalid", IF(OR(B453="Conflicting Duplicate", M453="Unknown", S453="Unknown"), "Warning", "Valid"))</f>
        <v>Invalid</v>
      </c>
      <c r="B453" t="str">
        <f t="shared" si="57"/>
        <v>-</v>
      </c>
      <c r="C453" t="s">
        <v>2551</v>
      </c>
      <c r="D453" s="2">
        <v>45564</v>
      </c>
      <c r="E453" t="str">
        <f t="shared" si="58"/>
        <v>September</v>
      </c>
      <c r="F453">
        <f t="shared" si="59"/>
        <v>2024</v>
      </c>
      <c r="G453" s="2">
        <v>45422</v>
      </c>
      <c r="H453" t="s">
        <v>2552</v>
      </c>
      <c r="I453" s="7">
        <f t="shared" si="60"/>
        <v>-142</v>
      </c>
      <c r="J453" s="7" t="s">
        <v>2802</v>
      </c>
      <c r="K453" t="s">
        <v>114</v>
      </c>
      <c r="L453" t="s">
        <v>37</v>
      </c>
      <c r="M453" t="s">
        <v>63</v>
      </c>
      <c r="N453" t="s">
        <v>64</v>
      </c>
      <c r="O453" t="s">
        <v>65</v>
      </c>
      <c r="P453" t="s">
        <v>28</v>
      </c>
      <c r="Q453" t="s">
        <v>91</v>
      </c>
      <c r="R453" t="s">
        <v>2553</v>
      </c>
      <c r="S453" t="s">
        <v>50</v>
      </c>
      <c r="T453">
        <v>8</v>
      </c>
      <c r="U453">
        <v>1981.04</v>
      </c>
      <c r="V453">
        <v>-0.14000000000000001</v>
      </c>
      <c r="W453" s="4" t="s">
        <v>2794</v>
      </c>
      <c r="X453">
        <v>12678.66</v>
      </c>
      <c r="Y453" s="4" t="str">
        <f t="shared" si="56"/>
        <v>Cannot Calculate</v>
      </c>
      <c r="Z453">
        <v>10088.65</v>
      </c>
      <c r="AA453">
        <v>2590.0100000000002</v>
      </c>
      <c r="AB453" s="4" t="str">
        <f t="shared" si="61"/>
        <v>Cannot Calculate</v>
      </c>
      <c r="AC453" s="9">
        <f t="shared" si="62"/>
        <v>0</v>
      </c>
      <c r="AD453" t="s">
        <v>32</v>
      </c>
      <c r="AE453" t="s">
        <v>33</v>
      </c>
      <c r="AF453" t="str">
        <f t="shared" si="63"/>
        <v>Calculation Blocked</v>
      </c>
    </row>
    <row r="454" spans="1:32">
      <c r="A454" t="str">
        <f>IF(OR(I454&lt;0, ISTEXT(W454), ISTEXT(Y454)), "Invalid", IF(OR(B454="Conflicting Duplicate", M454="Unknown", S454="Unknown"), "Warning", "Valid"))</f>
        <v>Valid</v>
      </c>
      <c r="B454" t="str">
        <f t="shared" si="57"/>
        <v>-</v>
      </c>
      <c r="C454" t="s">
        <v>2554</v>
      </c>
      <c r="D454" s="2">
        <v>45504</v>
      </c>
      <c r="E454" t="str">
        <f t="shared" si="58"/>
        <v>July</v>
      </c>
      <c r="F454">
        <f t="shared" si="59"/>
        <v>2024</v>
      </c>
      <c r="G454" s="2">
        <v>45504</v>
      </c>
      <c r="H454" t="s">
        <v>2555</v>
      </c>
      <c r="I454">
        <f t="shared" si="60"/>
        <v>0</v>
      </c>
      <c r="J454" t="s">
        <v>2795</v>
      </c>
      <c r="K454" t="s">
        <v>23</v>
      </c>
      <c r="L454" t="s">
        <v>95</v>
      </c>
      <c r="M454" t="s">
        <v>54</v>
      </c>
      <c r="N454" t="s">
        <v>185</v>
      </c>
      <c r="O454" t="s">
        <v>186</v>
      </c>
      <c r="P454" t="s">
        <v>74</v>
      </c>
      <c r="Q454" t="s">
        <v>2556</v>
      </c>
      <c r="R454" t="s">
        <v>2557</v>
      </c>
      <c r="S454" t="s">
        <v>59</v>
      </c>
      <c r="T454">
        <v>8</v>
      </c>
      <c r="U454">
        <v>4246.01</v>
      </c>
      <c r="V454">
        <v>0</v>
      </c>
      <c r="W454">
        <v>0</v>
      </c>
      <c r="X454">
        <v>33968.080000000002</v>
      </c>
      <c r="Y454">
        <f t="shared" si="56"/>
        <v>33968.080000000002</v>
      </c>
      <c r="Z454">
        <v>26902.44</v>
      </c>
      <c r="AA454">
        <v>7065.64</v>
      </c>
      <c r="AB454">
        <f t="shared" si="61"/>
        <v>7065.6400000000031</v>
      </c>
      <c r="AC454" s="8">
        <f t="shared" si="62"/>
        <v>0.20800822419165294</v>
      </c>
      <c r="AD454" t="s">
        <v>155</v>
      </c>
      <c r="AE454" t="s">
        <v>68</v>
      </c>
      <c r="AF454" t="str">
        <f t="shared" si="63"/>
        <v>Perfect Match</v>
      </c>
    </row>
    <row r="455" spans="1:32">
      <c r="A455" s="6" t="str">
        <f>IF(OR(I455&lt;0, ISTEXT(W455), ISTEXT(Y455)), "Invalid", IF(OR(B455="Conflicting Duplicate", M455="Unknown", S455="Unknown"), "Warning", "Valid"))</f>
        <v>Invalid</v>
      </c>
      <c r="B455" t="str">
        <f t="shared" si="57"/>
        <v>-</v>
      </c>
      <c r="C455" t="s">
        <v>2561</v>
      </c>
      <c r="D455" s="2">
        <v>45476</v>
      </c>
      <c r="E455" t="str">
        <f t="shared" si="58"/>
        <v>July</v>
      </c>
      <c r="F455">
        <f t="shared" si="59"/>
        <v>2024</v>
      </c>
      <c r="G455" s="2">
        <v>45450</v>
      </c>
      <c r="H455" t="s">
        <v>2562</v>
      </c>
      <c r="I455" s="7">
        <f t="shared" si="60"/>
        <v>-26</v>
      </c>
      <c r="J455" s="7" t="s">
        <v>2802</v>
      </c>
      <c r="K455" t="s">
        <v>128</v>
      </c>
      <c r="L455" t="s">
        <v>90</v>
      </c>
      <c r="M455" t="s">
        <v>54</v>
      </c>
      <c r="N455" t="s">
        <v>175</v>
      </c>
      <c r="O455" t="s">
        <v>176</v>
      </c>
      <c r="P455" t="s">
        <v>74</v>
      </c>
      <c r="Q455" t="s">
        <v>75</v>
      </c>
      <c r="R455" t="s">
        <v>2563</v>
      </c>
      <c r="S455" t="s">
        <v>50</v>
      </c>
      <c r="T455">
        <v>7</v>
      </c>
      <c r="U455">
        <v>1942.49</v>
      </c>
      <c r="V455">
        <v>0.2</v>
      </c>
      <c r="W455">
        <v>0.2</v>
      </c>
      <c r="X455">
        <v>10877.94</v>
      </c>
      <c r="Y455">
        <f t="shared" si="56"/>
        <v>10877.94</v>
      </c>
      <c r="Z455">
        <v>9110.14</v>
      </c>
      <c r="AA455">
        <v>1767.8</v>
      </c>
      <c r="AB455">
        <f t="shared" si="61"/>
        <v>1767.8000000000011</v>
      </c>
      <c r="AC455" s="8">
        <f t="shared" si="62"/>
        <v>0.16251238745571323</v>
      </c>
      <c r="AD455" t="s">
        <v>32</v>
      </c>
      <c r="AE455" t="s">
        <v>33</v>
      </c>
      <c r="AF455" t="str">
        <f t="shared" si="63"/>
        <v>Perfect Match</v>
      </c>
    </row>
    <row r="456" spans="1:32">
      <c r="A456" s="6" t="str">
        <f>IF(OR(I456&lt;0, ISTEXT(W456), ISTEXT(Y456)), "Invalid", IF(OR(B456="Conflicting Duplicate", M456="Unknown", S456="Unknown"), "Warning", "Valid"))</f>
        <v>Invalid</v>
      </c>
      <c r="B456" t="str">
        <f t="shared" si="57"/>
        <v>-</v>
      </c>
      <c r="C456" t="s">
        <v>2564</v>
      </c>
      <c r="D456" s="2">
        <v>45577</v>
      </c>
      <c r="E456" t="str">
        <f t="shared" si="58"/>
        <v>October</v>
      </c>
      <c r="F456">
        <f t="shared" si="59"/>
        <v>2024</v>
      </c>
      <c r="G456" s="2">
        <v>45573</v>
      </c>
      <c r="H456" t="s">
        <v>2565</v>
      </c>
      <c r="I456" s="7">
        <f t="shared" si="60"/>
        <v>-4</v>
      </c>
      <c r="J456" s="7" t="s">
        <v>2802</v>
      </c>
      <c r="K456" t="s">
        <v>36</v>
      </c>
      <c r="L456" t="s">
        <v>90</v>
      </c>
      <c r="M456" t="s">
        <v>38</v>
      </c>
      <c r="N456" t="s">
        <v>166</v>
      </c>
      <c r="O456" t="s">
        <v>167</v>
      </c>
      <c r="P456" t="s">
        <v>41</v>
      </c>
      <c r="Q456" t="s">
        <v>57</v>
      </c>
      <c r="R456" t="s">
        <v>2566</v>
      </c>
      <c r="S456" t="s">
        <v>31</v>
      </c>
      <c r="T456">
        <v>4</v>
      </c>
      <c r="U456">
        <v>3202.04</v>
      </c>
      <c r="V456">
        <v>0.2</v>
      </c>
      <c r="W456">
        <v>0.2</v>
      </c>
      <c r="X456">
        <v>10246.530000000001</v>
      </c>
      <c r="Y456">
        <f t="shared" si="56"/>
        <v>10246.530000000001</v>
      </c>
      <c r="Z456">
        <v>8634.42</v>
      </c>
      <c r="AA456">
        <v>1612.11</v>
      </c>
      <c r="AB456">
        <f t="shared" si="61"/>
        <v>1612.1100000000006</v>
      </c>
      <c r="AC456" s="8">
        <f t="shared" si="62"/>
        <v>0.15733228712549521</v>
      </c>
      <c r="AD456" t="s">
        <v>111</v>
      </c>
      <c r="AE456" t="s">
        <v>103</v>
      </c>
      <c r="AF456" t="str">
        <f t="shared" si="63"/>
        <v>Perfect Match</v>
      </c>
    </row>
    <row r="457" spans="1:32">
      <c r="A457" s="6" t="str">
        <f>IF(OR(I457&lt;0, ISTEXT(W457), ISTEXT(Y457)), "Invalid", IF(OR(B457="Conflicting Duplicate", M457="Unknown", S457="Unknown"), "Warning", "Valid"))</f>
        <v>Invalid</v>
      </c>
      <c r="B457" t="str">
        <f t="shared" si="57"/>
        <v>-</v>
      </c>
      <c r="C457" t="s">
        <v>2579</v>
      </c>
      <c r="D457" s="2">
        <v>45620</v>
      </c>
      <c r="E457" t="str">
        <f t="shared" si="58"/>
        <v>November</v>
      </c>
      <c r="F457">
        <f t="shared" si="59"/>
        <v>2024</v>
      </c>
      <c r="G457" s="2">
        <v>45303</v>
      </c>
      <c r="H457" t="s">
        <v>2580</v>
      </c>
      <c r="I457" s="7">
        <f t="shared" si="60"/>
        <v>-317</v>
      </c>
      <c r="J457" s="7" t="s">
        <v>2802</v>
      </c>
      <c r="K457" t="s">
        <v>114</v>
      </c>
      <c r="L457" t="s">
        <v>95</v>
      </c>
      <c r="M457" t="s">
        <v>54</v>
      </c>
      <c r="N457" t="s">
        <v>247</v>
      </c>
      <c r="O457" t="s">
        <v>248</v>
      </c>
      <c r="P457" t="s">
        <v>28</v>
      </c>
      <c r="Q457" t="s">
        <v>29</v>
      </c>
      <c r="R457" t="s">
        <v>2581</v>
      </c>
      <c r="S457" t="s">
        <v>44</v>
      </c>
      <c r="T457">
        <v>1</v>
      </c>
      <c r="U457">
        <v>844.89</v>
      </c>
      <c r="V457">
        <v>0.25</v>
      </c>
      <c r="W457">
        <v>0.25</v>
      </c>
      <c r="X457">
        <v>633.66999999999996</v>
      </c>
      <c r="Y457">
        <f t="shared" si="56"/>
        <v>633.66999999999996</v>
      </c>
      <c r="Z457">
        <v>520.47</v>
      </c>
      <c r="AA457">
        <v>113.2</v>
      </c>
      <c r="AB457">
        <f t="shared" si="61"/>
        <v>113.19999999999993</v>
      </c>
      <c r="AC457" s="8">
        <f t="shared" si="62"/>
        <v>0.17864187984282029</v>
      </c>
      <c r="AD457" t="s">
        <v>32</v>
      </c>
      <c r="AE457" t="s">
        <v>68</v>
      </c>
      <c r="AF457" t="str">
        <f t="shared" si="63"/>
        <v>Perfect Match</v>
      </c>
    </row>
    <row r="458" spans="1:32">
      <c r="A458" t="str">
        <f>IF(OR(I458&lt;0, ISTEXT(W458), ISTEXT(Y458)), "Invalid", IF(OR(B458="Conflicting Duplicate", M458="Unknown", S458="Unknown"), "Warning", "Valid"))</f>
        <v>Valid</v>
      </c>
      <c r="B458" t="str">
        <f t="shared" si="57"/>
        <v>-</v>
      </c>
      <c r="C458" t="s">
        <v>2585</v>
      </c>
      <c r="D458" s="2">
        <v>45348</v>
      </c>
      <c r="E458" t="str">
        <f t="shared" si="58"/>
        <v>February</v>
      </c>
      <c r="F458">
        <f t="shared" si="59"/>
        <v>2024</v>
      </c>
      <c r="G458" s="2">
        <v>45350</v>
      </c>
      <c r="H458" t="s">
        <v>2586</v>
      </c>
      <c r="I458">
        <f t="shared" si="60"/>
        <v>2</v>
      </c>
      <c r="J458" t="s">
        <v>2795</v>
      </c>
      <c r="K458" t="s">
        <v>89</v>
      </c>
      <c r="L458" t="s">
        <v>37</v>
      </c>
      <c r="M458" t="s">
        <v>63</v>
      </c>
      <c r="N458" t="s">
        <v>190</v>
      </c>
      <c r="O458" t="s">
        <v>191</v>
      </c>
      <c r="P458" t="s">
        <v>41</v>
      </c>
      <c r="Q458" t="s">
        <v>57</v>
      </c>
      <c r="R458" t="s">
        <v>2587</v>
      </c>
      <c r="S458" t="s">
        <v>31</v>
      </c>
      <c r="T458">
        <v>7</v>
      </c>
      <c r="U458">
        <v>1035.1400000000001</v>
      </c>
      <c r="V458">
        <v>0.1</v>
      </c>
      <c r="W458">
        <v>0.1</v>
      </c>
      <c r="X458">
        <v>6521.38</v>
      </c>
      <c r="Y458">
        <f t="shared" si="56"/>
        <v>6521.38</v>
      </c>
      <c r="Z458">
        <v>4511.1000000000004</v>
      </c>
      <c r="AA458">
        <v>2010.28</v>
      </c>
      <c r="AB458">
        <f t="shared" si="61"/>
        <v>2010.2799999999997</v>
      </c>
      <c r="AC458" s="8">
        <f t="shared" si="62"/>
        <v>0.30825990817894366</v>
      </c>
      <c r="AD458" t="s">
        <v>32</v>
      </c>
      <c r="AE458" t="s">
        <v>33</v>
      </c>
      <c r="AF458" t="str">
        <f t="shared" si="63"/>
        <v>Perfect Match</v>
      </c>
    </row>
    <row r="459" spans="1:32">
      <c r="A459" t="str">
        <f>IF(OR(I459&lt;0, ISTEXT(W459), ISTEXT(Y459)), "Invalid", IF(OR(B459="Conflicting Duplicate", M459="Unknown", S459="Unknown"), "Warning", "Valid"))</f>
        <v>Valid</v>
      </c>
      <c r="B459" t="str">
        <f t="shared" si="57"/>
        <v>-</v>
      </c>
      <c r="C459" t="s">
        <v>2597</v>
      </c>
      <c r="D459" s="2">
        <v>45447</v>
      </c>
      <c r="E459" t="str">
        <f t="shared" si="58"/>
        <v>June</v>
      </c>
      <c r="F459">
        <f t="shared" si="59"/>
        <v>2024</v>
      </c>
      <c r="G459" s="2">
        <v>45447</v>
      </c>
      <c r="H459" t="s">
        <v>2598</v>
      </c>
      <c r="I459">
        <f t="shared" si="60"/>
        <v>0</v>
      </c>
      <c r="J459" t="s">
        <v>2795</v>
      </c>
      <c r="K459" t="s">
        <v>118</v>
      </c>
      <c r="L459" t="s">
        <v>95</v>
      </c>
      <c r="M459" t="s">
        <v>38</v>
      </c>
      <c r="N459" t="s">
        <v>99</v>
      </c>
      <c r="O459" t="s">
        <v>100</v>
      </c>
      <c r="P459" t="s">
        <v>41</v>
      </c>
      <c r="Q459" t="s">
        <v>158</v>
      </c>
      <c r="R459" t="s">
        <v>2599</v>
      </c>
      <c r="S459" t="s">
        <v>50</v>
      </c>
      <c r="T459">
        <v>6</v>
      </c>
      <c r="U459">
        <v>3949.4</v>
      </c>
      <c r="V459">
        <v>0</v>
      </c>
      <c r="W459">
        <v>0</v>
      </c>
      <c r="X459">
        <v>23696.400000000001</v>
      </c>
      <c r="Y459">
        <f t="shared" si="56"/>
        <v>23696.400000000001</v>
      </c>
      <c r="Z459">
        <v>18109.77</v>
      </c>
      <c r="AA459">
        <v>5586.63</v>
      </c>
      <c r="AB459">
        <f t="shared" si="61"/>
        <v>5586.630000000001</v>
      </c>
      <c r="AC459" s="8">
        <f t="shared" si="62"/>
        <v>0.23575859624246723</v>
      </c>
      <c r="AD459" t="s">
        <v>32</v>
      </c>
      <c r="AE459" t="s">
        <v>33</v>
      </c>
      <c r="AF459" t="str">
        <f t="shared" si="63"/>
        <v>Perfect Match</v>
      </c>
    </row>
    <row r="460" spans="1:32">
      <c r="A460" t="str">
        <f>IF(OR(I460&lt;0, ISTEXT(W460), ISTEXT(Y460)), "Invalid", IF(OR(B460="Conflicting Duplicate", M460="Unknown", S460="Unknown"), "Warning", "Valid"))</f>
        <v>Valid</v>
      </c>
      <c r="B460" t="str">
        <f t="shared" si="57"/>
        <v>-</v>
      </c>
      <c r="C460" t="s">
        <v>2600</v>
      </c>
      <c r="D460" s="2">
        <v>45583</v>
      </c>
      <c r="E460" t="str">
        <f t="shared" si="58"/>
        <v>October</v>
      </c>
      <c r="F460">
        <f t="shared" si="59"/>
        <v>2024</v>
      </c>
      <c r="G460" s="2">
        <v>45587</v>
      </c>
      <c r="H460" t="s">
        <v>2601</v>
      </c>
      <c r="I460">
        <f t="shared" si="60"/>
        <v>4</v>
      </c>
      <c r="J460" t="s">
        <v>2795</v>
      </c>
      <c r="K460" t="s">
        <v>128</v>
      </c>
      <c r="L460" t="s">
        <v>95</v>
      </c>
      <c r="M460" t="s">
        <v>54</v>
      </c>
      <c r="N460" t="s">
        <v>55</v>
      </c>
      <c r="O460" t="s">
        <v>56</v>
      </c>
      <c r="P460" t="s">
        <v>28</v>
      </c>
      <c r="Q460" t="s">
        <v>48</v>
      </c>
      <c r="R460" t="s">
        <v>2602</v>
      </c>
      <c r="S460" t="s">
        <v>50</v>
      </c>
      <c r="T460">
        <v>6</v>
      </c>
      <c r="U460">
        <v>674.61</v>
      </c>
      <c r="V460">
        <v>0</v>
      </c>
      <c r="W460">
        <v>0</v>
      </c>
      <c r="X460">
        <v>4047.66</v>
      </c>
      <c r="Y460">
        <f t="shared" si="56"/>
        <v>4047.66</v>
      </c>
      <c r="Z460">
        <v>3078.93</v>
      </c>
      <c r="AA460">
        <v>1279.79</v>
      </c>
      <c r="AB460">
        <f t="shared" si="61"/>
        <v>968.73</v>
      </c>
      <c r="AC460" s="8">
        <f t="shared" si="62"/>
        <v>0.23933087265234729</v>
      </c>
      <c r="AD460" t="s">
        <v>32</v>
      </c>
      <c r="AE460" t="s">
        <v>33</v>
      </c>
      <c r="AF460" t="str">
        <f t="shared" si="63"/>
        <v>Mismatch Found</v>
      </c>
    </row>
    <row r="461" spans="1:32">
      <c r="A461" t="str">
        <f>IF(OR(I461&lt;0, ISTEXT(W461), ISTEXT(Y461)), "Invalid", IF(OR(B461="Conflicting Duplicate", M461="Unknown", S461="Unknown"), "Warning", "Valid"))</f>
        <v>Valid</v>
      </c>
      <c r="B461" t="str">
        <f t="shared" si="57"/>
        <v>-</v>
      </c>
      <c r="C461" t="s">
        <v>2606</v>
      </c>
      <c r="D461" s="2">
        <v>45641</v>
      </c>
      <c r="E461" t="str">
        <f t="shared" si="58"/>
        <v>December</v>
      </c>
      <c r="F461">
        <f t="shared" si="59"/>
        <v>2024</v>
      </c>
      <c r="G461" s="2">
        <v>45644</v>
      </c>
      <c r="H461" t="s">
        <v>2607</v>
      </c>
      <c r="I461">
        <f t="shared" si="60"/>
        <v>3</v>
      </c>
      <c r="J461" t="s">
        <v>2795</v>
      </c>
      <c r="K461" t="s">
        <v>47</v>
      </c>
      <c r="L461" t="s">
        <v>37</v>
      </c>
      <c r="M461" t="s">
        <v>25</v>
      </c>
      <c r="N461" t="s">
        <v>26</v>
      </c>
      <c r="O461" t="s">
        <v>27</v>
      </c>
      <c r="P461" t="s">
        <v>28</v>
      </c>
      <c r="Q461" t="s">
        <v>91</v>
      </c>
      <c r="R461" t="s">
        <v>2608</v>
      </c>
      <c r="S461" t="s">
        <v>31</v>
      </c>
      <c r="T461">
        <v>2</v>
      </c>
      <c r="U461">
        <v>537.11</v>
      </c>
      <c r="V461">
        <v>0</v>
      </c>
      <c r="W461">
        <v>0</v>
      </c>
      <c r="X461">
        <v>1074.22</v>
      </c>
      <c r="Y461">
        <f t="shared" si="56"/>
        <v>1074.22</v>
      </c>
      <c r="Z461">
        <v>850.86</v>
      </c>
      <c r="AA461">
        <v>223.36</v>
      </c>
      <c r="AB461">
        <f t="shared" si="61"/>
        <v>223.36</v>
      </c>
      <c r="AC461" s="8">
        <f t="shared" si="62"/>
        <v>0.20792761259332354</v>
      </c>
      <c r="AD461" t="s">
        <v>32</v>
      </c>
      <c r="AE461" t="s">
        <v>33</v>
      </c>
      <c r="AF461" t="str">
        <f t="shared" si="63"/>
        <v>Perfect Match</v>
      </c>
    </row>
    <row r="462" spans="1:32">
      <c r="A462" t="str">
        <f>IF(OR(I462&lt;0, ISTEXT(W462), ISTEXT(Y462)), "Invalid", IF(OR(B462="Conflicting Duplicate", M462="Unknown", S462="Unknown"), "Warning", "Valid"))</f>
        <v>Valid</v>
      </c>
      <c r="B462" t="str">
        <f t="shared" si="57"/>
        <v>-</v>
      </c>
      <c r="C462" t="s">
        <v>2615</v>
      </c>
      <c r="D462" s="2">
        <v>45555</v>
      </c>
      <c r="E462" t="str">
        <f t="shared" si="58"/>
        <v>September</v>
      </c>
      <c r="F462">
        <f t="shared" si="59"/>
        <v>2024</v>
      </c>
      <c r="G462" s="2">
        <v>45557</v>
      </c>
      <c r="H462" t="s">
        <v>2616</v>
      </c>
      <c r="I462">
        <f t="shared" si="60"/>
        <v>2</v>
      </c>
      <c r="J462" t="s">
        <v>2795</v>
      </c>
      <c r="K462" t="s">
        <v>141</v>
      </c>
      <c r="L462" t="s">
        <v>95</v>
      </c>
      <c r="M462" t="s">
        <v>38</v>
      </c>
      <c r="N462" t="s">
        <v>39</v>
      </c>
      <c r="O462" t="s">
        <v>40</v>
      </c>
      <c r="P462" t="s">
        <v>74</v>
      </c>
      <c r="Q462" t="s">
        <v>171</v>
      </c>
      <c r="R462" t="s">
        <v>2617</v>
      </c>
      <c r="S462" t="s">
        <v>59</v>
      </c>
      <c r="T462">
        <v>8</v>
      </c>
      <c r="U462">
        <v>531.42999999999995</v>
      </c>
      <c r="V462">
        <v>0.1</v>
      </c>
      <c r="W462">
        <v>0.1</v>
      </c>
      <c r="X462">
        <v>3826.3</v>
      </c>
      <c r="Y462">
        <f t="shared" si="56"/>
        <v>3826.3</v>
      </c>
      <c r="Z462">
        <v>2194.12</v>
      </c>
      <c r="AA462">
        <v>1632.18</v>
      </c>
      <c r="AB462">
        <f t="shared" si="61"/>
        <v>1632.1800000000003</v>
      </c>
      <c r="AC462" s="8">
        <f t="shared" si="62"/>
        <v>0.42656874787653876</v>
      </c>
      <c r="AD462" t="s">
        <v>32</v>
      </c>
      <c r="AE462" t="s">
        <v>33</v>
      </c>
      <c r="AF462" t="str">
        <f t="shared" si="63"/>
        <v>Perfect Match</v>
      </c>
    </row>
    <row r="463" spans="1:32">
      <c r="A463" s="6" t="str">
        <f>IF(OR(I463&lt;0, ISTEXT(W463), ISTEXT(Y463)), "Invalid", IF(OR(B463="Conflicting Duplicate", M463="Unknown", S463="Unknown"), "Warning", "Valid"))</f>
        <v>Invalid</v>
      </c>
      <c r="B463" t="str">
        <f t="shared" si="57"/>
        <v>-</v>
      </c>
      <c r="C463" t="s">
        <v>2624</v>
      </c>
      <c r="D463" s="2">
        <v>45382</v>
      </c>
      <c r="E463" t="str">
        <f t="shared" si="58"/>
        <v>March</v>
      </c>
      <c r="F463">
        <f t="shared" si="59"/>
        <v>2024</v>
      </c>
      <c r="G463" s="2">
        <v>45381</v>
      </c>
      <c r="H463" t="s">
        <v>2625</v>
      </c>
      <c r="I463" s="7">
        <f t="shared" si="60"/>
        <v>-1</v>
      </c>
      <c r="J463" s="7" t="s">
        <v>2802</v>
      </c>
      <c r="K463" t="s">
        <v>264</v>
      </c>
      <c r="L463" t="s">
        <v>24</v>
      </c>
      <c r="M463" t="s">
        <v>25</v>
      </c>
      <c r="N463" t="s">
        <v>236</v>
      </c>
      <c r="O463" t="s">
        <v>237</v>
      </c>
      <c r="P463" t="s">
        <v>74</v>
      </c>
      <c r="Q463" t="s">
        <v>274</v>
      </c>
      <c r="R463" t="s">
        <v>2626</v>
      </c>
      <c r="S463" t="s">
        <v>50</v>
      </c>
      <c r="T463">
        <v>4</v>
      </c>
      <c r="U463">
        <v>2192.08</v>
      </c>
      <c r="V463">
        <v>0.15</v>
      </c>
      <c r="W463">
        <v>0.15</v>
      </c>
      <c r="X463">
        <v>7453.07</v>
      </c>
      <c r="Y463">
        <f t="shared" si="56"/>
        <v>7453.07</v>
      </c>
      <c r="Z463">
        <v>5133.78</v>
      </c>
      <c r="AA463">
        <v>2319.29</v>
      </c>
      <c r="AB463">
        <f t="shared" si="61"/>
        <v>2319.29</v>
      </c>
      <c r="AC463" s="8">
        <f t="shared" si="62"/>
        <v>0.31118586032332984</v>
      </c>
      <c r="AD463" t="s">
        <v>32</v>
      </c>
      <c r="AE463" t="s">
        <v>103</v>
      </c>
      <c r="AF463" t="str">
        <f t="shared" si="63"/>
        <v>Perfect Match</v>
      </c>
    </row>
    <row r="464" spans="1:32">
      <c r="A464" t="str">
        <f>IF(OR(I464&lt;0, ISTEXT(W464), ISTEXT(Y464)), "Invalid", IF(OR(B464="Conflicting Duplicate", M464="Unknown", S464="Unknown"), "Warning", "Valid"))</f>
        <v>Valid</v>
      </c>
      <c r="B464" t="str">
        <f t="shared" si="57"/>
        <v>-</v>
      </c>
      <c r="C464" t="s">
        <v>2633</v>
      </c>
      <c r="D464" s="2">
        <v>45345</v>
      </c>
      <c r="E464" t="str">
        <f t="shared" si="58"/>
        <v>February</v>
      </c>
      <c r="F464">
        <f t="shared" si="59"/>
        <v>2024</v>
      </c>
      <c r="G464" s="2">
        <v>45349</v>
      </c>
      <c r="H464" t="s">
        <v>595</v>
      </c>
      <c r="I464">
        <f t="shared" si="60"/>
        <v>4</v>
      </c>
      <c r="J464" t="s">
        <v>2795</v>
      </c>
      <c r="K464" t="s">
        <v>23</v>
      </c>
      <c r="L464" t="s">
        <v>24</v>
      </c>
      <c r="M464" t="s">
        <v>38</v>
      </c>
      <c r="N464" t="s">
        <v>39</v>
      </c>
      <c r="O464" t="s">
        <v>40</v>
      </c>
      <c r="P464" t="s">
        <v>41</v>
      </c>
      <c r="Q464" t="s">
        <v>42</v>
      </c>
      <c r="R464" t="s">
        <v>2634</v>
      </c>
      <c r="S464" t="s">
        <v>50</v>
      </c>
      <c r="T464">
        <v>9</v>
      </c>
      <c r="U464">
        <v>3616.23</v>
      </c>
      <c r="V464">
        <v>0.25</v>
      </c>
      <c r="W464">
        <v>0.25</v>
      </c>
      <c r="X464">
        <v>24409.55</v>
      </c>
      <c r="Y464">
        <f t="shared" si="56"/>
        <v>24409.55</v>
      </c>
      <c r="Z464">
        <v>17157.580000000002</v>
      </c>
      <c r="AA464">
        <v>7251.97</v>
      </c>
      <c r="AB464">
        <f t="shared" si="61"/>
        <v>7251.9699999999975</v>
      </c>
      <c r="AC464" s="8">
        <f t="shared" si="62"/>
        <v>0.29709560397467377</v>
      </c>
      <c r="AD464" t="s">
        <v>111</v>
      </c>
      <c r="AE464" t="s">
        <v>103</v>
      </c>
      <c r="AF464" t="str">
        <f t="shared" si="63"/>
        <v>Perfect Match</v>
      </c>
    </row>
    <row r="465" spans="1:32">
      <c r="A465" t="str">
        <f>IF(OR(I465&lt;0, ISTEXT(W465), ISTEXT(Y465)), "Invalid", IF(OR(B465="Conflicting Duplicate", M465="Unknown", S465="Unknown"), "Warning", "Valid"))</f>
        <v>Valid</v>
      </c>
      <c r="B465" t="str">
        <f t="shared" si="57"/>
        <v>-</v>
      </c>
      <c r="C465" t="s">
        <v>2635</v>
      </c>
      <c r="D465" s="2">
        <v>45396</v>
      </c>
      <c r="E465" t="str">
        <f t="shared" si="58"/>
        <v>April</v>
      </c>
      <c r="F465">
        <f t="shared" si="59"/>
        <v>2024</v>
      </c>
      <c r="G465" s="2">
        <v>45404</v>
      </c>
      <c r="H465" t="s">
        <v>2636</v>
      </c>
      <c r="I465">
        <f t="shared" si="60"/>
        <v>8</v>
      </c>
      <c r="J465" t="s">
        <v>2795</v>
      </c>
      <c r="K465" t="s">
        <v>114</v>
      </c>
      <c r="L465" t="s">
        <v>37</v>
      </c>
      <c r="M465" t="s">
        <v>63</v>
      </c>
      <c r="N465" t="s">
        <v>180</v>
      </c>
      <c r="O465" t="s">
        <v>181</v>
      </c>
      <c r="P465" t="s">
        <v>41</v>
      </c>
      <c r="Q465" t="s">
        <v>158</v>
      </c>
      <c r="R465" t="s">
        <v>2637</v>
      </c>
      <c r="S465" t="s">
        <v>59</v>
      </c>
      <c r="T465">
        <v>2</v>
      </c>
      <c r="U465">
        <v>3977.52</v>
      </c>
      <c r="V465">
        <v>0</v>
      </c>
      <c r="W465">
        <v>0</v>
      </c>
      <c r="X465">
        <v>7955.04</v>
      </c>
      <c r="Y465">
        <f t="shared" si="56"/>
        <v>7955.04</v>
      </c>
      <c r="Z465">
        <v>5580.68</v>
      </c>
      <c r="AA465">
        <v>2374.36</v>
      </c>
      <c r="AB465">
        <f t="shared" si="61"/>
        <v>2374.3599999999997</v>
      </c>
      <c r="AC465" s="8">
        <f t="shared" si="62"/>
        <v>0.29847241497214339</v>
      </c>
      <c r="AD465" t="s">
        <v>111</v>
      </c>
      <c r="AE465" t="s">
        <v>103</v>
      </c>
      <c r="AF465" t="str">
        <f t="shared" si="63"/>
        <v>Perfect Match</v>
      </c>
    </row>
    <row r="466" spans="1:32">
      <c r="A466" t="str">
        <f>IF(OR(I466&lt;0, ISTEXT(W466), ISTEXT(Y466)), "Invalid", IF(OR(B466="Conflicting Duplicate", M466="Unknown", S466="Unknown"), "Warning", "Valid"))</f>
        <v>Valid</v>
      </c>
      <c r="B466" t="str">
        <f t="shared" si="57"/>
        <v>-</v>
      </c>
      <c r="C466" t="s">
        <v>2644</v>
      </c>
      <c r="D466" s="2">
        <v>45357</v>
      </c>
      <c r="E466" t="str">
        <f t="shared" si="58"/>
        <v>March</v>
      </c>
      <c r="F466">
        <f t="shared" si="59"/>
        <v>2024</v>
      </c>
      <c r="G466" s="2">
        <v>45629</v>
      </c>
      <c r="H466" t="s">
        <v>2645</v>
      </c>
      <c r="I466">
        <f t="shared" si="60"/>
        <v>272</v>
      </c>
      <c r="J466" t="s">
        <v>2795</v>
      </c>
      <c r="K466" t="s">
        <v>47</v>
      </c>
      <c r="L466" t="s">
        <v>95</v>
      </c>
      <c r="M466" t="s">
        <v>63</v>
      </c>
      <c r="N466" t="s">
        <v>180</v>
      </c>
      <c r="O466" t="s">
        <v>181</v>
      </c>
      <c r="P466" t="s">
        <v>41</v>
      </c>
      <c r="Q466" t="s">
        <v>158</v>
      </c>
      <c r="R466" t="s">
        <v>2646</v>
      </c>
      <c r="S466" t="s">
        <v>59</v>
      </c>
      <c r="T466">
        <v>3</v>
      </c>
      <c r="U466">
        <v>679.63</v>
      </c>
      <c r="V466">
        <v>0.2</v>
      </c>
      <c r="W466">
        <v>0.2</v>
      </c>
      <c r="X466">
        <v>1631.11</v>
      </c>
      <c r="Y466">
        <f t="shared" si="56"/>
        <v>1631.11</v>
      </c>
      <c r="Z466">
        <v>898.73</v>
      </c>
      <c r="AA466">
        <v>396.58</v>
      </c>
      <c r="AB466">
        <f t="shared" si="61"/>
        <v>732.37999999999988</v>
      </c>
      <c r="AC466" s="8">
        <f t="shared" si="62"/>
        <v>0.44900711785226005</v>
      </c>
      <c r="AD466" t="s">
        <v>32</v>
      </c>
      <c r="AE466" t="s">
        <v>33</v>
      </c>
      <c r="AF466" t="str">
        <f t="shared" si="63"/>
        <v>Mismatch Found</v>
      </c>
    </row>
    <row r="467" spans="1:32">
      <c r="A467" t="str">
        <f>IF(OR(I467&lt;0, ISTEXT(W467), ISTEXT(Y467)), "Invalid", IF(OR(B467="Conflicting Duplicate", M467="Unknown", S467="Unknown"), "Warning", "Valid"))</f>
        <v>Valid</v>
      </c>
      <c r="B467" t="str">
        <f t="shared" si="57"/>
        <v>-</v>
      </c>
      <c r="C467" t="s">
        <v>2647</v>
      </c>
      <c r="D467" s="2">
        <v>45473</v>
      </c>
      <c r="E467" t="str">
        <f t="shared" si="58"/>
        <v>June</v>
      </c>
      <c r="F467">
        <f t="shared" si="59"/>
        <v>2024</v>
      </c>
      <c r="G467" s="2">
        <v>45476</v>
      </c>
      <c r="H467" t="s">
        <v>2648</v>
      </c>
      <c r="I467">
        <f t="shared" si="60"/>
        <v>3</v>
      </c>
      <c r="J467" t="s">
        <v>2795</v>
      </c>
      <c r="K467" t="s">
        <v>114</v>
      </c>
      <c r="L467" t="s">
        <v>95</v>
      </c>
      <c r="M467" t="s">
        <v>38</v>
      </c>
      <c r="N467" t="s">
        <v>99</v>
      </c>
      <c r="O467" t="s">
        <v>100</v>
      </c>
      <c r="P467" t="s">
        <v>28</v>
      </c>
      <c r="Q467" t="s">
        <v>29</v>
      </c>
      <c r="R467" t="s">
        <v>2649</v>
      </c>
      <c r="S467" t="s">
        <v>50</v>
      </c>
      <c r="T467">
        <v>6</v>
      </c>
      <c r="U467">
        <v>1211.01</v>
      </c>
      <c r="V467">
        <v>0</v>
      </c>
      <c r="W467">
        <v>0</v>
      </c>
      <c r="X467">
        <v>7266.06</v>
      </c>
      <c r="Y467">
        <f t="shared" si="56"/>
        <v>7266.06</v>
      </c>
      <c r="Z467">
        <v>6216.89</v>
      </c>
      <c r="AA467">
        <v>1049.17</v>
      </c>
      <c r="AB467">
        <f t="shared" si="61"/>
        <v>1049.17</v>
      </c>
      <c r="AC467" s="8">
        <f t="shared" si="62"/>
        <v>0.14439324750965449</v>
      </c>
      <c r="AD467" t="s">
        <v>32</v>
      </c>
      <c r="AE467" t="s">
        <v>33</v>
      </c>
      <c r="AF467" t="str">
        <f t="shared" si="63"/>
        <v>Perfect Match</v>
      </c>
    </row>
    <row r="468" spans="1:32">
      <c r="A468" t="str">
        <f>IF(OR(I468&lt;0, ISTEXT(W468), ISTEXT(Y468)), "Invalid", IF(OR(B468="Conflicting Duplicate", M468="Unknown", S468="Unknown"), "Warning", "Valid"))</f>
        <v>Valid</v>
      </c>
      <c r="B468" t="str">
        <f t="shared" si="57"/>
        <v>-</v>
      </c>
      <c r="C468" t="s">
        <v>2650</v>
      </c>
      <c r="D468" s="2">
        <v>45377</v>
      </c>
      <c r="E468" t="str">
        <f t="shared" si="58"/>
        <v>March</v>
      </c>
      <c r="F468">
        <f t="shared" si="59"/>
        <v>2024</v>
      </c>
      <c r="G468" s="2">
        <v>45383</v>
      </c>
      <c r="H468" t="s">
        <v>2651</v>
      </c>
      <c r="I468">
        <f t="shared" si="60"/>
        <v>6</v>
      </c>
      <c r="J468" t="s">
        <v>2795</v>
      </c>
      <c r="K468" t="s">
        <v>23</v>
      </c>
      <c r="L468" t="s">
        <v>37</v>
      </c>
      <c r="M468" t="s">
        <v>63</v>
      </c>
      <c r="N468" t="s">
        <v>180</v>
      </c>
      <c r="O468" t="s">
        <v>181</v>
      </c>
      <c r="P468" t="s">
        <v>74</v>
      </c>
      <c r="Q468" t="s">
        <v>75</v>
      </c>
      <c r="R468" t="s">
        <v>2652</v>
      </c>
      <c r="S468" t="s">
        <v>50</v>
      </c>
      <c r="T468">
        <v>2</v>
      </c>
      <c r="U468">
        <v>1161.3</v>
      </c>
      <c r="V468">
        <v>0.2</v>
      </c>
      <c r="W468">
        <v>0.2</v>
      </c>
      <c r="X468">
        <v>1858.08</v>
      </c>
      <c r="Y468">
        <f t="shared" si="56"/>
        <v>1858.08</v>
      </c>
      <c r="Z468">
        <v>1590.75</v>
      </c>
      <c r="AA468">
        <v>267.33</v>
      </c>
      <c r="AB468">
        <f t="shared" si="61"/>
        <v>267.32999999999993</v>
      </c>
      <c r="AC468" s="8">
        <f t="shared" si="62"/>
        <v>0.14387432188065097</v>
      </c>
      <c r="AD468" t="s">
        <v>32</v>
      </c>
      <c r="AE468" t="s">
        <v>33</v>
      </c>
      <c r="AF468" t="str">
        <f t="shared" si="63"/>
        <v>Perfect Match</v>
      </c>
    </row>
    <row r="469" spans="1:32">
      <c r="A469" t="str">
        <f>IF(OR(I469&lt;0, ISTEXT(W469), ISTEXT(Y469)), "Invalid", IF(OR(B469="Conflicting Duplicate", M469="Unknown", S469="Unknown"), "Warning", "Valid"))</f>
        <v>Valid</v>
      </c>
      <c r="B469" t="str">
        <f t="shared" si="57"/>
        <v>-</v>
      </c>
      <c r="C469" t="s">
        <v>2653</v>
      </c>
      <c r="D469" s="2">
        <v>45295</v>
      </c>
      <c r="E469" t="str">
        <f t="shared" si="58"/>
        <v>January</v>
      </c>
      <c r="F469">
        <f t="shared" si="59"/>
        <v>2024</v>
      </c>
      <c r="G469" s="2">
        <v>45508</v>
      </c>
      <c r="H469" t="s">
        <v>2654</v>
      </c>
      <c r="I469">
        <f t="shared" si="60"/>
        <v>213</v>
      </c>
      <c r="J469" t="s">
        <v>2795</v>
      </c>
      <c r="K469" t="s">
        <v>62</v>
      </c>
      <c r="L469" t="s">
        <v>24</v>
      </c>
      <c r="M469" t="s">
        <v>38</v>
      </c>
      <c r="N469" t="s">
        <v>166</v>
      </c>
      <c r="O469" t="s">
        <v>167</v>
      </c>
      <c r="P469" t="s">
        <v>41</v>
      </c>
      <c r="Q469" t="s">
        <v>42</v>
      </c>
      <c r="R469" t="s">
        <v>2655</v>
      </c>
      <c r="S469" t="s">
        <v>31</v>
      </c>
      <c r="T469">
        <v>7</v>
      </c>
      <c r="U469">
        <v>4205.3500000000004</v>
      </c>
      <c r="V469">
        <v>0.15</v>
      </c>
      <c r="W469">
        <v>0.15</v>
      </c>
      <c r="X469">
        <v>25021.83</v>
      </c>
      <c r="Y469">
        <f t="shared" si="56"/>
        <v>25021.83</v>
      </c>
      <c r="Z469">
        <v>15544.44</v>
      </c>
      <c r="AA469">
        <v>9477.39</v>
      </c>
      <c r="AB469">
        <f t="shared" si="61"/>
        <v>9477.3900000000012</v>
      </c>
      <c r="AC469" s="8">
        <f t="shared" si="62"/>
        <v>0.37876486252204578</v>
      </c>
      <c r="AD469" t="s">
        <v>111</v>
      </c>
      <c r="AE469" t="s">
        <v>68</v>
      </c>
      <c r="AF469" t="str">
        <f t="shared" si="63"/>
        <v>Perfect Match</v>
      </c>
    </row>
    <row r="470" spans="1:32">
      <c r="A470" t="str">
        <f>IF(OR(I470&lt;0, ISTEXT(W470), ISTEXT(Y470)), "Invalid", IF(OR(B470="Conflicting Duplicate", M470="Unknown", S470="Unknown"), "Warning", "Valid"))</f>
        <v>Valid</v>
      </c>
      <c r="B470" t="str">
        <f t="shared" si="57"/>
        <v>-</v>
      </c>
      <c r="C470" t="s">
        <v>2662</v>
      </c>
      <c r="D470" s="2">
        <v>45498</v>
      </c>
      <c r="E470" t="str">
        <f t="shared" si="58"/>
        <v>July</v>
      </c>
      <c r="F470">
        <f t="shared" si="59"/>
        <v>2024</v>
      </c>
      <c r="G470" s="2">
        <v>45506</v>
      </c>
      <c r="H470" t="s">
        <v>1133</v>
      </c>
      <c r="I470">
        <f t="shared" si="60"/>
        <v>8</v>
      </c>
      <c r="J470" t="s">
        <v>2795</v>
      </c>
      <c r="K470" t="s">
        <v>118</v>
      </c>
      <c r="L470" t="s">
        <v>24</v>
      </c>
      <c r="M470" t="s">
        <v>25</v>
      </c>
      <c r="N470" t="s">
        <v>26</v>
      </c>
      <c r="O470" t="s">
        <v>27</v>
      </c>
      <c r="P470" t="s">
        <v>28</v>
      </c>
      <c r="Q470" t="s">
        <v>2663</v>
      </c>
      <c r="R470" t="s">
        <v>2664</v>
      </c>
      <c r="S470" t="s">
        <v>31</v>
      </c>
      <c r="T470">
        <v>2</v>
      </c>
      <c r="U470">
        <v>2073.5300000000002</v>
      </c>
      <c r="V470">
        <v>0.25</v>
      </c>
      <c r="W470">
        <v>0.25</v>
      </c>
      <c r="X470">
        <v>3110.3</v>
      </c>
      <c r="Y470">
        <f t="shared" si="56"/>
        <v>3110.3</v>
      </c>
      <c r="Z470">
        <v>2101.0300000000002</v>
      </c>
      <c r="AA470">
        <v>1009.27</v>
      </c>
      <c r="AB470">
        <f t="shared" si="61"/>
        <v>1009.27</v>
      </c>
      <c r="AC470" s="8">
        <f t="shared" si="62"/>
        <v>0.32449281419798731</v>
      </c>
      <c r="AD470" t="s">
        <v>32</v>
      </c>
      <c r="AE470" t="s">
        <v>33</v>
      </c>
      <c r="AF470" t="str">
        <f t="shared" si="63"/>
        <v>Perfect Match</v>
      </c>
    </row>
    <row r="471" spans="1:32">
      <c r="A471" s="6" t="str">
        <f>IF(OR(I471&lt;0, ISTEXT(W471), ISTEXT(Y471)), "Invalid", IF(OR(B471="Conflicting Duplicate", M471="Unknown", S471="Unknown"), "Warning", "Valid"))</f>
        <v>Invalid</v>
      </c>
      <c r="B471" t="str">
        <f t="shared" si="57"/>
        <v>-</v>
      </c>
      <c r="C471" t="s">
        <v>2665</v>
      </c>
      <c r="D471" s="2">
        <v>45455</v>
      </c>
      <c r="E471" t="str">
        <f t="shared" si="58"/>
        <v>June</v>
      </c>
      <c r="F471">
        <f t="shared" si="59"/>
        <v>2024</v>
      </c>
      <c r="G471" s="2">
        <v>45462</v>
      </c>
      <c r="H471" t="s">
        <v>1315</v>
      </c>
      <c r="I471">
        <f t="shared" si="60"/>
        <v>7</v>
      </c>
      <c r="J471" t="s">
        <v>2795</v>
      </c>
      <c r="K471" t="s">
        <v>141</v>
      </c>
      <c r="L471" t="s">
        <v>95</v>
      </c>
      <c r="M471" t="s">
        <v>54</v>
      </c>
      <c r="N471" t="s">
        <v>247</v>
      </c>
      <c r="O471" t="s">
        <v>248</v>
      </c>
      <c r="P471" t="s">
        <v>28</v>
      </c>
      <c r="Q471" t="s">
        <v>124</v>
      </c>
      <c r="R471" t="s">
        <v>2666</v>
      </c>
      <c r="S471" t="s">
        <v>59</v>
      </c>
      <c r="T471">
        <v>4</v>
      </c>
      <c r="U471">
        <v>395.1</v>
      </c>
      <c r="V471">
        <v>-0.16</v>
      </c>
      <c r="W471" s="4" t="s">
        <v>2794</v>
      </c>
      <c r="X471">
        <v>1185.3</v>
      </c>
      <c r="Y471" s="4" t="str">
        <f t="shared" si="56"/>
        <v>Cannot Calculate</v>
      </c>
      <c r="Z471">
        <v>966.55</v>
      </c>
      <c r="AA471">
        <v>218.75</v>
      </c>
      <c r="AB471" s="4" t="str">
        <f t="shared" si="61"/>
        <v>Cannot Calculate</v>
      </c>
      <c r="AC471" s="9">
        <f t="shared" si="62"/>
        <v>0</v>
      </c>
      <c r="AD471" t="s">
        <v>155</v>
      </c>
      <c r="AE471" t="s">
        <v>68</v>
      </c>
      <c r="AF471" t="str">
        <f t="shared" si="63"/>
        <v>Calculation Blocked</v>
      </c>
    </row>
    <row r="472" spans="1:32">
      <c r="A472" s="6" t="str">
        <f>IF(OR(I472&lt;0, ISTEXT(W472), ISTEXT(Y472)), "Invalid", IF(OR(B472="Conflicting Duplicate", M472="Unknown", S472="Unknown"), "Warning", "Valid"))</f>
        <v>Invalid</v>
      </c>
      <c r="B472" t="str">
        <f t="shared" si="57"/>
        <v>-</v>
      </c>
      <c r="C472" t="s">
        <v>2667</v>
      </c>
      <c r="D472" s="2">
        <v>45447</v>
      </c>
      <c r="E472" t="str">
        <f t="shared" si="58"/>
        <v>June</v>
      </c>
      <c r="F472">
        <f t="shared" si="59"/>
        <v>2024</v>
      </c>
      <c r="G472" s="2">
        <v>45388</v>
      </c>
      <c r="H472" t="s">
        <v>2169</v>
      </c>
      <c r="I472" s="7">
        <f t="shared" si="60"/>
        <v>-59</v>
      </c>
      <c r="J472" s="7" t="s">
        <v>2802</v>
      </c>
      <c r="K472" t="s">
        <v>132</v>
      </c>
      <c r="L472" t="s">
        <v>95</v>
      </c>
      <c r="M472" t="s">
        <v>54</v>
      </c>
      <c r="N472" t="s">
        <v>185</v>
      </c>
      <c r="O472" t="s">
        <v>186</v>
      </c>
      <c r="P472" t="s">
        <v>28</v>
      </c>
      <c r="Q472" t="s">
        <v>124</v>
      </c>
      <c r="R472" t="s">
        <v>2668</v>
      </c>
      <c r="S472" t="s">
        <v>50</v>
      </c>
      <c r="T472">
        <v>6</v>
      </c>
      <c r="U472">
        <v>2708.97</v>
      </c>
      <c r="V472">
        <v>0.25</v>
      </c>
      <c r="W472">
        <v>0.25</v>
      </c>
      <c r="X472">
        <v>12190.36</v>
      </c>
      <c r="Y472">
        <f t="shared" si="56"/>
        <v>12190.37</v>
      </c>
      <c r="Z472">
        <v>10176.99</v>
      </c>
      <c r="AA472">
        <v>2013.37</v>
      </c>
      <c r="AB472">
        <f t="shared" si="61"/>
        <v>2013.380000000001</v>
      </c>
      <c r="AC472" s="8">
        <f t="shared" si="62"/>
        <v>0.16516151683665065</v>
      </c>
      <c r="AD472" t="s">
        <v>32</v>
      </c>
      <c r="AE472" t="s">
        <v>33</v>
      </c>
      <c r="AF472" t="str">
        <f t="shared" si="63"/>
        <v>Mismatch Found</v>
      </c>
    </row>
    <row r="473" spans="1:32">
      <c r="A473" t="str">
        <f>IF(OR(I473&lt;0, ISTEXT(W473), ISTEXT(Y473)), "Invalid", IF(OR(B473="Conflicting Duplicate", M473="Unknown", S473="Unknown"), "Warning", "Valid"))</f>
        <v>Valid</v>
      </c>
      <c r="B473" t="str">
        <f t="shared" si="57"/>
        <v>-</v>
      </c>
      <c r="C473" t="s">
        <v>2669</v>
      </c>
      <c r="D473" s="2">
        <v>45414</v>
      </c>
      <c r="E473" t="str">
        <f t="shared" si="58"/>
        <v>May</v>
      </c>
      <c r="F473">
        <f t="shared" si="59"/>
        <v>2024</v>
      </c>
      <c r="G473" s="2">
        <v>45421</v>
      </c>
      <c r="H473" t="s">
        <v>2670</v>
      </c>
      <c r="I473">
        <f t="shared" si="60"/>
        <v>7</v>
      </c>
      <c r="J473" t="s">
        <v>2795</v>
      </c>
      <c r="K473" t="s">
        <v>53</v>
      </c>
      <c r="L473" t="s">
        <v>24</v>
      </c>
      <c r="M473" t="s">
        <v>38</v>
      </c>
      <c r="N473" t="s">
        <v>39</v>
      </c>
      <c r="O473" t="s">
        <v>40</v>
      </c>
      <c r="P473" t="s">
        <v>74</v>
      </c>
      <c r="Q473" t="s">
        <v>75</v>
      </c>
      <c r="R473" t="s">
        <v>2671</v>
      </c>
      <c r="S473" t="s">
        <v>31</v>
      </c>
      <c r="T473">
        <v>4</v>
      </c>
      <c r="U473">
        <v>2904.86</v>
      </c>
      <c r="V473">
        <v>0</v>
      </c>
      <c r="W473">
        <v>0</v>
      </c>
      <c r="X473">
        <v>11619.44</v>
      </c>
      <c r="Y473">
        <f t="shared" si="56"/>
        <v>11619.44</v>
      </c>
      <c r="Z473">
        <v>7184.32</v>
      </c>
      <c r="AA473">
        <v>4494.6400000000003</v>
      </c>
      <c r="AB473">
        <f t="shared" si="61"/>
        <v>4435.1200000000008</v>
      </c>
      <c r="AC473" s="8">
        <f t="shared" si="62"/>
        <v>0.3816982574031107</v>
      </c>
      <c r="AD473" t="s">
        <v>32</v>
      </c>
      <c r="AE473" t="s">
        <v>33</v>
      </c>
      <c r="AF473" t="str">
        <f t="shared" si="63"/>
        <v>Mismatch Found</v>
      </c>
    </row>
    <row r="474" spans="1:32">
      <c r="A474" t="str">
        <f>IF(OR(I474&lt;0, ISTEXT(W474), ISTEXT(Y474)), "Invalid", IF(OR(B474="Conflicting Duplicate", M474="Unknown", S474="Unknown"), "Warning", "Valid"))</f>
        <v>Valid</v>
      </c>
      <c r="B474" t="str">
        <f t="shared" si="57"/>
        <v>-</v>
      </c>
      <c r="C474" t="s">
        <v>2672</v>
      </c>
      <c r="D474" s="2">
        <v>45592</v>
      </c>
      <c r="E474" t="str">
        <f t="shared" si="58"/>
        <v>October</v>
      </c>
      <c r="F474">
        <f t="shared" si="59"/>
        <v>2024</v>
      </c>
      <c r="G474" s="2">
        <v>45597</v>
      </c>
      <c r="H474" t="s">
        <v>2673</v>
      </c>
      <c r="I474">
        <f t="shared" si="60"/>
        <v>5</v>
      </c>
      <c r="J474" t="s">
        <v>2795</v>
      </c>
      <c r="K474" t="s">
        <v>89</v>
      </c>
      <c r="L474" t="s">
        <v>90</v>
      </c>
      <c r="M474" t="s">
        <v>54</v>
      </c>
      <c r="N474" t="s">
        <v>247</v>
      </c>
      <c r="O474" t="s">
        <v>248</v>
      </c>
      <c r="P474" t="s">
        <v>74</v>
      </c>
      <c r="Q474" t="s">
        <v>171</v>
      </c>
      <c r="R474" t="s">
        <v>2674</v>
      </c>
      <c r="S474" t="s">
        <v>59</v>
      </c>
      <c r="T474">
        <v>6</v>
      </c>
      <c r="U474">
        <v>4399.2</v>
      </c>
      <c r="V474">
        <v>0.05</v>
      </c>
      <c r="W474">
        <v>0.05</v>
      </c>
      <c r="X474">
        <v>25075.439999999999</v>
      </c>
      <c r="Y474">
        <f t="shared" si="56"/>
        <v>25075.439999999999</v>
      </c>
      <c r="Z474">
        <v>16282.74</v>
      </c>
      <c r="AA474">
        <v>8792.7000000000007</v>
      </c>
      <c r="AB474">
        <f t="shared" si="61"/>
        <v>8792.6999999999989</v>
      </c>
      <c r="AC474" s="8">
        <f t="shared" si="62"/>
        <v>0.35064987892535482</v>
      </c>
      <c r="AD474" t="s">
        <v>32</v>
      </c>
      <c r="AE474" t="s">
        <v>33</v>
      </c>
      <c r="AF474" t="str">
        <f t="shared" si="63"/>
        <v>Perfect Match</v>
      </c>
    </row>
    <row r="475" spans="1:32">
      <c r="A475" t="str">
        <f>IF(OR(I475&lt;0, ISTEXT(W475), ISTEXT(Y475)), "Invalid", IF(OR(B475="Conflicting Duplicate", M475="Unknown", S475="Unknown"), "Warning", "Valid"))</f>
        <v>Valid</v>
      </c>
      <c r="B475" t="str">
        <f t="shared" si="57"/>
        <v>-</v>
      </c>
      <c r="C475" t="s">
        <v>2675</v>
      </c>
      <c r="D475" s="2">
        <v>45324</v>
      </c>
      <c r="E475" t="str">
        <f t="shared" si="58"/>
        <v>February</v>
      </c>
      <c r="F475">
        <f t="shared" si="59"/>
        <v>2024</v>
      </c>
      <c r="G475" s="2">
        <v>45326</v>
      </c>
      <c r="H475" t="s">
        <v>2676</v>
      </c>
      <c r="I475">
        <f t="shared" si="60"/>
        <v>2</v>
      </c>
      <c r="J475" t="s">
        <v>2795</v>
      </c>
      <c r="K475" t="s">
        <v>71</v>
      </c>
      <c r="L475" t="s">
        <v>95</v>
      </c>
      <c r="M475" t="s">
        <v>25</v>
      </c>
      <c r="N475" t="s">
        <v>136</v>
      </c>
      <c r="O475" t="s">
        <v>137</v>
      </c>
      <c r="P475" t="s">
        <v>28</v>
      </c>
      <c r="Q475" t="s">
        <v>124</v>
      </c>
      <c r="R475" t="s">
        <v>2677</v>
      </c>
      <c r="S475" t="s">
        <v>31</v>
      </c>
      <c r="T475">
        <v>1</v>
      </c>
      <c r="U475">
        <v>4397.32</v>
      </c>
      <c r="V475">
        <v>0.05</v>
      </c>
      <c r="W475">
        <v>0.05</v>
      </c>
      <c r="X475">
        <v>4177.45</v>
      </c>
      <c r="Y475">
        <f t="shared" si="56"/>
        <v>4177.45</v>
      </c>
      <c r="Z475">
        <v>2299.5</v>
      </c>
      <c r="AA475">
        <v>1877.95</v>
      </c>
      <c r="AB475">
        <f t="shared" si="61"/>
        <v>1877.9499999999998</v>
      </c>
      <c r="AC475" s="8">
        <f t="shared" si="62"/>
        <v>0.44954457863050423</v>
      </c>
      <c r="AD475" t="s">
        <v>32</v>
      </c>
      <c r="AE475" t="s">
        <v>33</v>
      </c>
      <c r="AF475" t="str">
        <f t="shared" si="63"/>
        <v>Perfect Match</v>
      </c>
    </row>
    <row r="476" spans="1:32">
      <c r="A476" t="str">
        <f>IF(OR(I476&lt;0, ISTEXT(W476), ISTEXT(Y476)), "Invalid", IF(OR(B476="Conflicting Duplicate", M476="Unknown", S476="Unknown"), "Warning", "Valid"))</f>
        <v>Valid</v>
      </c>
      <c r="B476" t="str">
        <f t="shared" si="57"/>
        <v>-</v>
      </c>
      <c r="C476" t="s">
        <v>2696</v>
      </c>
      <c r="D476" s="2">
        <v>45617</v>
      </c>
      <c r="E476" t="str">
        <f t="shared" si="58"/>
        <v>November</v>
      </c>
      <c r="F476">
        <f t="shared" si="59"/>
        <v>2024</v>
      </c>
      <c r="G476" s="2">
        <v>45618</v>
      </c>
      <c r="H476" t="s">
        <v>2697</v>
      </c>
      <c r="I476">
        <f t="shared" si="60"/>
        <v>1</v>
      </c>
      <c r="J476" t="s">
        <v>2795</v>
      </c>
      <c r="K476" t="s">
        <v>118</v>
      </c>
      <c r="L476" t="s">
        <v>95</v>
      </c>
      <c r="M476" t="s">
        <v>54</v>
      </c>
      <c r="N476" t="s">
        <v>84</v>
      </c>
      <c r="O476" t="s">
        <v>85</v>
      </c>
      <c r="P476" t="s">
        <v>74</v>
      </c>
      <c r="Q476" t="s">
        <v>75</v>
      </c>
      <c r="R476" t="s">
        <v>2698</v>
      </c>
      <c r="S476" t="s">
        <v>44</v>
      </c>
      <c r="T476">
        <v>6</v>
      </c>
      <c r="U476">
        <v>1043.49</v>
      </c>
      <c r="V476">
        <v>0.25</v>
      </c>
      <c r="W476">
        <v>0.25</v>
      </c>
      <c r="X476">
        <v>4695.7</v>
      </c>
      <c r="Y476">
        <f t="shared" si="56"/>
        <v>4695.71</v>
      </c>
      <c r="Z476">
        <v>3871.69</v>
      </c>
      <c r="AA476">
        <v>824.01</v>
      </c>
      <c r="AB476">
        <f t="shared" si="61"/>
        <v>824.02</v>
      </c>
      <c r="AC476" s="8">
        <f t="shared" si="62"/>
        <v>0.17548357969295378</v>
      </c>
      <c r="AD476" t="s">
        <v>155</v>
      </c>
      <c r="AE476" t="s">
        <v>68</v>
      </c>
      <c r="AF476" t="str">
        <f t="shared" si="63"/>
        <v>Mismatch Found</v>
      </c>
    </row>
    <row r="477" spans="1:32">
      <c r="A477" t="str">
        <f>IF(OR(I477&lt;0, ISTEXT(W477), ISTEXT(Y477)), "Invalid", IF(OR(B477="Conflicting Duplicate", M477="Unknown", S477="Unknown"), "Warning", "Valid"))</f>
        <v>Valid</v>
      </c>
      <c r="B477" t="str">
        <f t="shared" si="57"/>
        <v>-</v>
      </c>
      <c r="C477" t="s">
        <v>2707</v>
      </c>
      <c r="D477" s="2">
        <v>45342</v>
      </c>
      <c r="E477" t="str">
        <f t="shared" si="58"/>
        <v>February</v>
      </c>
      <c r="F477">
        <f t="shared" si="59"/>
        <v>2024</v>
      </c>
      <c r="G477" s="2">
        <v>45344</v>
      </c>
      <c r="H477" t="s">
        <v>2577</v>
      </c>
      <c r="I477">
        <f t="shared" si="60"/>
        <v>2</v>
      </c>
      <c r="J477" t="s">
        <v>2795</v>
      </c>
      <c r="K477" t="s">
        <v>79</v>
      </c>
      <c r="L477" t="s">
        <v>37</v>
      </c>
      <c r="M477" t="s">
        <v>54</v>
      </c>
      <c r="N477" t="s">
        <v>55</v>
      </c>
      <c r="O477" t="s">
        <v>56</v>
      </c>
      <c r="P477" t="s">
        <v>74</v>
      </c>
      <c r="Q477" t="s">
        <v>75</v>
      </c>
      <c r="R477" t="s">
        <v>2708</v>
      </c>
      <c r="S477" t="s">
        <v>50</v>
      </c>
      <c r="T477">
        <v>9</v>
      </c>
      <c r="U477">
        <v>2186.23</v>
      </c>
      <c r="V477">
        <v>0</v>
      </c>
      <c r="W477">
        <v>0</v>
      </c>
      <c r="X477">
        <v>19676.07</v>
      </c>
      <c r="Y477">
        <f t="shared" si="56"/>
        <v>19676.07</v>
      </c>
      <c r="Z477">
        <v>12458.62</v>
      </c>
      <c r="AA477">
        <v>7217.45</v>
      </c>
      <c r="AB477">
        <f t="shared" si="61"/>
        <v>7217.4499999999989</v>
      </c>
      <c r="AC477" s="8">
        <f t="shared" si="62"/>
        <v>0.36681359641432454</v>
      </c>
      <c r="AD477" t="s">
        <v>102</v>
      </c>
      <c r="AE477" t="s">
        <v>68</v>
      </c>
      <c r="AF477" t="str">
        <f t="shared" si="63"/>
        <v>Perfect Match</v>
      </c>
    </row>
    <row r="478" spans="1:32">
      <c r="A478" t="str">
        <f>IF(OR(I478&lt;0, ISTEXT(W478), ISTEXT(Y478)), "Invalid", IF(OR(B478="Conflicting Duplicate", M478="Unknown", S478="Unknown"), "Warning", "Valid"))</f>
        <v>Valid</v>
      </c>
      <c r="B478" t="str">
        <f t="shared" si="57"/>
        <v>-</v>
      </c>
      <c r="C478" t="s">
        <v>2709</v>
      </c>
      <c r="D478" s="2">
        <v>45597</v>
      </c>
      <c r="E478" t="str">
        <f t="shared" si="58"/>
        <v>November</v>
      </c>
      <c r="F478">
        <f t="shared" si="59"/>
        <v>2024</v>
      </c>
      <c r="G478" s="2">
        <v>45598</v>
      </c>
      <c r="H478" t="s">
        <v>1980</v>
      </c>
      <c r="I478">
        <f t="shared" si="60"/>
        <v>1</v>
      </c>
      <c r="J478" t="s">
        <v>2795</v>
      </c>
      <c r="K478" t="s">
        <v>23</v>
      </c>
      <c r="L478" t="s">
        <v>90</v>
      </c>
      <c r="M478" t="s">
        <v>38</v>
      </c>
      <c r="N478" t="s">
        <v>99</v>
      </c>
      <c r="O478" t="s">
        <v>100</v>
      </c>
      <c r="P478" t="s">
        <v>41</v>
      </c>
      <c r="Q478" t="s">
        <v>57</v>
      </c>
      <c r="R478" t="s">
        <v>2710</v>
      </c>
      <c r="S478" t="s">
        <v>59</v>
      </c>
      <c r="T478">
        <v>5</v>
      </c>
      <c r="U478">
        <v>2212.02</v>
      </c>
      <c r="V478">
        <v>0.2</v>
      </c>
      <c r="W478">
        <v>0.2</v>
      </c>
      <c r="X478">
        <v>8848.08</v>
      </c>
      <c r="Y478">
        <f t="shared" si="56"/>
        <v>8848.08</v>
      </c>
      <c r="Z478">
        <v>5691.56</v>
      </c>
      <c r="AA478">
        <v>3156.52</v>
      </c>
      <c r="AB478">
        <f t="shared" si="61"/>
        <v>3156.5199999999995</v>
      </c>
      <c r="AC478" s="8">
        <f t="shared" si="62"/>
        <v>0.35674632236598219</v>
      </c>
      <c r="AD478" t="s">
        <v>32</v>
      </c>
      <c r="AE478" t="s">
        <v>33</v>
      </c>
      <c r="AF478" t="str">
        <f t="shared" si="63"/>
        <v>Perfect Match</v>
      </c>
    </row>
    <row r="479" spans="1:32">
      <c r="A479" t="str">
        <f>IF(OR(I479&lt;0, ISTEXT(W479), ISTEXT(Y479)), "Invalid", IF(OR(B479="Conflicting Duplicate", M479="Unknown", S479="Unknown"), "Warning", "Valid"))</f>
        <v>Valid</v>
      </c>
      <c r="B479" t="str">
        <f t="shared" si="57"/>
        <v>-</v>
      </c>
      <c r="C479" t="s">
        <v>2717</v>
      </c>
      <c r="D479" s="2">
        <v>45514</v>
      </c>
      <c r="E479" t="str">
        <f t="shared" si="58"/>
        <v>August</v>
      </c>
      <c r="F479">
        <f t="shared" si="59"/>
        <v>2024</v>
      </c>
      <c r="G479" s="2">
        <v>45515</v>
      </c>
      <c r="H479" t="s">
        <v>2718</v>
      </c>
      <c r="I479">
        <f t="shared" si="60"/>
        <v>1</v>
      </c>
      <c r="J479" t="s">
        <v>2795</v>
      </c>
      <c r="K479" t="s">
        <v>36</v>
      </c>
      <c r="L479" t="s">
        <v>90</v>
      </c>
      <c r="M479" t="s">
        <v>63</v>
      </c>
      <c r="N479" t="s">
        <v>64</v>
      </c>
      <c r="O479" t="s">
        <v>65</v>
      </c>
      <c r="P479" t="s">
        <v>74</v>
      </c>
      <c r="Q479" t="s">
        <v>80</v>
      </c>
      <c r="R479" t="s">
        <v>2719</v>
      </c>
      <c r="S479" t="s">
        <v>50</v>
      </c>
      <c r="T479">
        <v>7</v>
      </c>
      <c r="U479">
        <v>3852.62</v>
      </c>
      <c r="V479">
        <v>0.2</v>
      </c>
      <c r="W479">
        <v>0.2</v>
      </c>
      <c r="X479">
        <v>21574.67</v>
      </c>
      <c r="Y479">
        <f t="shared" si="56"/>
        <v>21574.67</v>
      </c>
      <c r="Z479">
        <v>14672.83</v>
      </c>
      <c r="AA479">
        <v>6901.84</v>
      </c>
      <c r="AB479">
        <f t="shared" si="61"/>
        <v>6901.8399999999983</v>
      </c>
      <c r="AC479" s="8">
        <f t="shared" si="62"/>
        <v>0.31990477722254845</v>
      </c>
      <c r="AD479" t="s">
        <v>32</v>
      </c>
      <c r="AE479" t="s">
        <v>33</v>
      </c>
      <c r="AF479" t="str">
        <f t="shared" si="63"/>
        <v>Perfect Match</v>
      </c>
    </row>
    <row r="480" spans="1:32">
      <c r="A480" t="str">
        <f>IF(OR(I480&lt;0, ISTEXT(W480), ISTEXT(Y480)), "Invalid", IF(OR(B480="Conflicting Duplicate", M480="Unknown", S480="Unknown"), "Warning", "Valid"))</f>
        <v>Valid</v>
      </c>
      <c r="B480" t="str">
        <f t="shared" si="57"/>
        <v>-</v>
      </c>
      <c r="C480" t="s">
        <v>2720</v>
      </c>
      <c r="D480" s="2">
        <v>45614</v>
      </c>
      <c r="E480" t="str">
        <f t="shared" si="58"/>
        <v>November</v>
      </c>
      <c r="F480">
        <f t="shared" si="59"/>
        <v>2024</v>
      </c>
      <c r="G480" s="2">
        <v>45616</v>
      </c>
      <c r="H480" t="s">
        <v>2721</v>
      </c>
      <c r="I480">
        <f t="shared" si="60"/>
        <v>2</v>
      </c>
      <c r="J480" t="s">
        <v>2795</v>
      </c>
      <c r="K480" t="s">
        <v>114</v>
      </c>
      <c r="L480" t="s">
        <v>24</v>
      </c>
      <c r="M480" t="s">
        <v>63</v>
      </c>
      <c r="N480" t="s">
        <v>26</v>
      </c>
      <c r="O480" t="s">
        <v>109</v>
      </c>
      <c r="P480" t="s">
        <v>41</v>
      </c>
      <c r="Q480" t="s">
        <v>66</v>
      </c>
      <c r="R480" t="s">
        <v>854</v>
      </c>
      <c r="S480" t="s">
        <v>50</v>
      </c>
      <c r="T480">
        <v>6</v>
      </c>
      <c r="U480">
        <v>3790.22</v>
      </c>
      <c r="V480">
        <v>0</v>
      </c>
      <c r="W480">
        <v>0</v>
      </c>
      <c r="X480">
        <v>22741.32</v>
      </c>
      <c r="Y480">
        <f t="shared" si="56"/>
        <v>22741.32</v>
      </c>
      <c r="Z480">
        <v>16388.57</v>
      </c>
      <c r="AA480">
        <v>6352.75</v>
      </c>
      <c r="AB480">
        <f t="shared" si="61"/>
        <v>6352.75</v>
      </c>
      <c r="AC480" s="8">
        <f t="shared" si="62"/>
        <v>0.27934834037777928</v>
      </c>
      <c r="AD480" t="s">
        <v>32</v>
      </c>
      <c r="AE480" t="s">
        <v>33</v>
      </c>
      <c r="AF480" t="str">
        <f t="shared" si="63"/>
        <v>Perfect Match</v>
      </c>
    </row>
    <row r="481" spans="1:32">
      <c r="A481" t="str">
        <f>IF(OR(I481&lt;0, ISTEXT(W481), ISTEXT(Y481)), "Invalid", IF(OR(B481="Conflicting Duplicate", M481="Unknown", S481="Unknown"), "Warning", "Valid"))</f>
        <v>Valid</v>
      </c>
      <c r="B481" t="str">
        <f t="shared" si="57"/>
        <v>-</v>
      </c>
      <c r="C481" t="s">
        <v>2725</v>
      </c>
      <c r="D481" s="2">
        <v>45313</v>
      </c>
      <c r="E481" t="str">
        <f t="shared" si="58"/>
        <v>January</v>
      </c>
      <c r="F481">
        <f t="shared" si="59"/>
        <v>2024</v>
      </c>
      <c r="G481" s="2">
        <v>45313</v>
      </c>
      <c r="H481" t="s">
        <v>2726</v>
      </c>
      <c r="I481">
        <f t="shared" si="60"/>
        <v>0</v>
      </c>
      <c r="J481" t="s">
        <v>2795</v>
      </c>
      <c r="K481" t="s">
        <v>23</v>
      </c>
      <c r="L481" t="s">
        <v>90</v>
      </c>
      <c r="M481" t="s">
        <v>38</v>
      </c>
      <c r="N481" t="s">
        <v>99</v>
      </c>
      <c r="O481" t="s">
        <v>100</v>
      </c>
      <c r="P481" t="s">
        <v>28</v>
      </c>
      <c r="Q481" t="s">
        <v>29</v>
      </c>
      <c r="R481" t="s">
        <v>2727</v>
      </c>
      <c r="S481" t="s">
        <v>50</v>
      </c>
      <c r="T481">
        <v>8</v>
      </c>
      <c r="U481">
        <v>1557.21</v>
      </c>
      <c r="V481">
        <v>0.05</v>
      </c>
      <c r="W481">
        <v>0.05</v>
      </c>
      <c r="X481">
        <v>11834.8</v>
      </c>
      <c r="Y481">
        <f t="shared" si="56"/>
        <v>11834.8</v>
      </c>
      <c r="Z481">
        <v>9322.36</v>
      </c>
      <c r="AA481">
        <v>2512.44</v>
      </c>
      <c r="AB481">
        <f t="shared" si="61"/>
        <v>2512.4399999999987</v>
      </c>
      <c r="AC481" s="8">
        <f t="shared" si="62"/>
        <v>0.21229256092202647</v>
      </c>
      <c r="AD481" t="s">
        <v>32</v>
      </c>
      <c r="AE481" t="s">
        <v>33</v>
      </c>
      <c r="AF481" t="str">
        <f t="shared" si="63"/>
        <v>Perfect Match</v>
      </c>
    </row>
    <row r="482" spans="1:32">
      <c r="A482" s="6" t="str">
        <f>IF(OR(I482&lt;0, ISTEXT(W482), ISTEXT(Y482)), "Invalid", IF(OR(B482="Conflicting Duplicate", M482="Unknown", S482="Unknown"), "Warning", "Valid"))</f>
        <v>Invalid</v>
      </c>
      <c r="B482" t="str">
        <f t="shared" si="57"/>
        <v>-</v>
      </c>
      <c r="C482" t="s">
        <v>2731</v>
      </c>
      <c r="D482" s="2">
        <v>45507</v>
      </c>
      <c r="E482" t="str">
        <f t="shared" si="58"/>
        <v>August</v>
      </c>
      <c r="F482">
        <f t="shared" si="59"/>
        <v>2024</v>
      </c>
      <c r="G482" s="2">
        <v>45366</v>
      </c>
      <c r="H482" t="s">
        <v>2732</v>
      </c>
      <c r="I482" s="7">
        <f t="shared" si="60"/>
        <v>-141</v>
      </c>
      <c r="J482" s="7" t="s">
        <v>2802</v>
      </c>
      <c r="K482" t="s">
        <v>128</v>
      </c>
      <c r="L482" t="s">
        <v>37</v>
      </c>
      <c r="M482" s="4" t="s">
        <v>2790</v>
      </c>
      <c r="N482" t="s">
        <v>122</v>
      </c>
      <c r="O482" t="s">
        <v>123</v>
      </c>
      <c r="P482" t="s">
        <v>41</v>
      </c>
      <c r="Q482" t="s">
        <v>66</v>
      </c>
      <c r="R482" t="s">
        <v>2733</v>
      </c>
      <c r="S482" t="s">
        <v>50</v>
      </c>
      <c r="T482">
        <v>5</v>
      </c>
      <c r="U482">
        <v>3234.77</v>
      </c>
      <c r="V482">
        <v>0</v>
      </c>
      <c r="W482">
        <v>0</v>
      </c>
      <c r="X482">
        <v>16173.85</v>
      </c>
      <c r="Y482">
        <f t="shared" si="56"/>
        <v>16173.85</v>
      </c>
      <c r="Z482">
        <v>13636.34</v>
      </c>
      <c r="AA482">
        <v>2537.5100000000002</v>
      </c>
      <c r="AB482">
        <f t="shared" si="61"/>
        <v>2537.5100000000002</v>
      </c>
      <c r="AC482" s="8">
        <f t="shared" si="62"/>
        <v>0.15688967067210344</v>
      </c>
      <c r="AD482" t="s">
        <v>32</v>
      </c>
      <c r="AE482" t="s">
        <v>33</v>
      </c>
      <c r="AF482" t="str">
        <f t="shared" si="63"/>
        <v>Perfect Match</v>
      </c>
    </row>
    <row r="483" spans="1:32">
      <c r="A483" s="6" t="str">
        <f>IF(OR(I483&lt;0, ISTEXT(W483), ISTEXT(Y483)), "Invalid", IF(OR(B483="Conflicting Duplicate", M483="Unknown", S483="Unknown"), "Warning", "Valid"))</f>
        <v>Invalid</v>
      </c>
      <c r="B483" t="str">
        <f t="shared" si="57"/>
        <v>-</v>
      </c>
      <c r="C483" t="s">
        <v>2734</v>
      </c>
      <c r="D483" s="2">
        <v>45627</v>
      </c>
      <c r="E483" t="str">
        <f t="shared" si="58"/>
        <v>December</v>
      </c>
      <c r="F483">
        <f t="shared" si="59"/>
        <v>2024</v>
      </c>
      <c r="G483" s="2">
        <v>45424</v>
      </c>
      <c r="H483" t="s">
        <v>2735</v>
      </c>
      <c r="I483" s="7">
        <f t="shared" si="60"/>
        <v>-203</v>
      </c>
      <c r="J483" s="7" t="s">
        <v>2802</v>
      </c>
      <c r="K483" t="s">
        <v>62</v>
      </c>
      <c r="L483" t="s">
        <v>37</v>
      </c>
      <c r="M483" t="s">
        <v>54</v>
      </c>
      <c r="N483" t="s">
        <v>84</v>
      </c>
      <c r="O483" t="s">
        <v>85</v>
      </c>
      <c r="P483" t="s">
        <v>74</v>
      </c>
      <c r="Q483" t="s">
        <v>80</v>
      </c>
      <c r="R483" t="s">
        <v>2736</v>
      </c>
      <c r="S483" t="s">
        <v>31</v>
      </c>
      <c r="T483">
        <v>9</v>
      </c>
      <c r="U483">
        <v>3726.75</v>
      </c>
      <c r="V483">
        <v>0.25</v>
      </c>
      <c r="W483">
        <v>0.25</v>
      </c>
      <c r="X483">
        <v>25155.56</v>
      </c>
      <c r="Y483">
        <f t="shared" si="56"/>
        <v>25155.56</v>
      </c>
      <c r="Z483">
        <v>17592.689999999999</v>
      </c>
      <c r="AA483">
        <v>7562.87</v>
      </c>
      <c r="AB483">
        <f t="shared" si="61"/>
        <v>7562.8700000000026</v>
      </c>
      <c r="AC483" s="8">
        <f t="shared" si="62"/>
        <v>0.30064407232436896</v>
      </c>
      <c r="AD483" t="s">
        <v>32</v>
      </c>
      <c r="AE483" t="s">
        <v>33</v>
      </c>
      <c r="AF483" t="str">
        <f t="shared" si="63"/>
        <v>Perfect Match</v>
      </c>
    </row>
    <row r="484" spans="1:32">
      <c r="A484" t="str">
        <f>IF(OR(I484&lt;0, ISTEXT(W484), ISTEXT(Y484)), "Invalid", IF(OR(B484="Conflicting Duplicate", M484="Unknown", S484="Unknown"), "Warning", "Valid"))</f>
        <v>Valid</v>
      </c>
      <c r="B484" t="str">
        <f t="shared" si="57"/>
        <v>-</v>
      </c>
      <c r="C484" t="s">
        <v>2746</v>
      </c>
      <c r="D484" s="2">
        <v>45296</v>
      </c>
      <c r="E484" t="str">
        <f t="shared" si="58"/>
        <v>January</v>
      </c>
      <c r="F484">
        <f t="shared" si="59"/>
        <v>2024</v>
      </c>
      <c r="G484" s="2">
        <v>45296</v>
      </c>
      <c r="H484" t="s">
        <v>2747</v>
      </c>
      <c r="I484">
        <f t="shared" si="60"/>
        <v>0</v>
      </c>
      <c r="J484" t="s">
        <v>2795</v>
      </c>
      <c r="K484" t="s">
        <v>162</v>
      </c>
      <c r="L484" t="s">
        <v>24</v>
      </c>
      <c r="M484" t="s">
        <v>25</v>
      </c>
      <c r="N484" t="s">
        <v>26</v>
      </c>
      <c r="O484" t="s">
        <v>27</v>
      </c>
      <c r="P484" t="s">
        <v>41</v>
      </c>
      <c r="Q484" t="s">
        <v>42</v>
      </c>
      <c r="R484" t="s">
        <v>2748</v>
      </c>
      <c r="S484" t="s">
        <v>59</v>
      </c>
      <c r="T484">
        <v>1</v>
      </c>
      <c r="U484">
        <v>2167.08</v>
      </c>
      <c r="V484">
        <v>0.25</v>
      </c>
      <c r="W484">
        <v>0.25</v>
      </c>
      <c r="X484">
        <v>1625.31</v>
      </c>
      <c r="Y484">
        <f t="shared" si="56"/>
        <v>1625.31</v>
      </c>
      <c r="Z484">
        <v>1157.8900000000001</v>
      </c>
      <c r="AA484">
        <v>467.42</v>
      </c>
      <c r="AB484">
        <f t="shared" si="61"/>
        <v>467.41999999999985</v>
      </c>
      <c r="AC484" s="8">
        <f t="shared" si="62"/>
        <v>0.28758821394072509</v>
      </c>
      <c r="AD484" t="s">
        <v>32</v>
      </c>
      <c r="AE484" t="s">
        <v>33</v>
      </c>
      <c r="AF484" t="str">
        <f t="shared" si="63"/>
        <v>Perfect Match</v>
      </c>
    </row>
    <row r="485" spans="1:32">
      <c r="A485" t="str">
        <f>IF(OR(I485&lt;0, ISTEXT(W485), ISTEXT(Y485)), "Invalid", IF(OR(B485="Conflicting Duplicate", M485="Unknown", S485="Unknown"), "Warning", "Valid"))</f>
        <v>Valid</v>
      </c>
      <c r="B485" t="str">
        <f t="shared" si="57"/>
        <v>-</v>
      </c>
      <c r="C485" t="s">
        <v>2752</v>
      </c>
      <c r="D485" s="2">
        <v>45455</v>
      </c>
      <c r="E485" t="str">
        <f t="shared" si="58"/>
        <v>June</v>
      </c>
      <c r="F485">
        <f t="shared" si="59"/>
        <v>2024</v>
      </c>
      <c r="G485" s="2">
        <v>45461</v>
      </c>
      <c r="H485" t="s">
        <v>2753</v>
      </c>
      <c r="I485">
        <f t="shared" si="60"/>
        <v>6</v>
      </c>
      <c r="J485" t="s">
        <v>2795</v>
      </c>
      <c r="K485" t="s">
        <v>128</v>
      </c>
      <c r="L485" t="s">
        <v>37</v>
      </c>
      <c r="M485" t="s">
        <v>54</v>
      </c>
      <c r="N485" t="s">
        <v>84</v>
      </c>
      <c r="O485" t="s">
        <v>85</v>
      </c>
      <c r="P485" t="s">
        <v>28</v>
      </c>
      <c r="Q485" t="s">
        <v>48</v>
      </c>
      <c r="R485" t="s">
        <v>2754</v>
      </c>
      <c r="S485" t="s">
        <v>59</v>
      </c>
      <c r="T485">
        <v>4</v>
      </c>
      <c r="U485">
        <v>4176.13</v>
      </c>
      <c r="V485">
        <v>0</v>
      </c>
      <c r="W485">
        <v>0</v>
      </c>
      <c r="X485">
        <v>16704.52</v>
      </c>
      <c r="Y485">
        <f t="shared" si="56"/>
        <v>16704.52</v>
      </c>
      <c r="Z485">
        <v>10158.280000000001</v>
      </c>
      <c r="AA485">
        <v>6546.24</v>
      </c>
      <c r="AB485">
        <f t="shared" si="61"/>
        <v>6546.24</v>
      </c>
      <c r="AC485" s="8">
        <f t="shared" si="62"/>
        <v>0.39188435225914897</v>
      </c>
      <c r="AD485" t="s">
        <v>32</v>
      </c>
      <c r="AE485" t="s">
        <v>33</v>
      </c>
      <c r="AF485" t="str">
        <f t="shared" si="63"/>
        <v>Perfect Match</v>
      </c>
    </row>
    <row r="486" spans="1:32">
      <c r="A486" t="str">
        <f>IF(OR(I486&lt;0, ISTEXT(W486), ISTEXT(Y486)), "Invalid", IF(OR(B486="Conflicting Duplicate", M486="Unknown", S486="Unknown"), "Warning", "Valid"))</f>
        <v>Valid</v>
      </c>
      <c r="B486" t="str">
        <f t="shared" si="57"/>
        <v>-</v>
      </c>
      <c r="C486" t="s">
        <v>2760</v>
      </c>
      <c r="D486" s="2">
        <v>45427</v>
      </c>
      <c r="E486" t="str">
        <f t="shared" si="58"/>
        <v>May</v>
      </c>
      <c r="F486">
        <f t="shared" si="59"/>
        <v>2024</v>
      </c>
      <c r="G486" s="2">
        <v>45433</v>
      </c>
      <c r="H486" t="s">
        <v>2761</v>
      </c>
      <c r="I486">
        <f t="shared" si="60"/>
        <v>6</v>
      </c>
      <c r="J486" t="s">
        <v>2795</v>
      </c>
      <c r="K486" t="s">
        <v>23</v>
      </c>
      <c r="L486" t="s">
        <v>24</v>
      </c>
      <c r="M486" t="s">
        <v>63</v>
      </c>
      <c r="N486" t="s">
        <v>190</v>
      </c>
      <c r="O486" t="s">
        <v>191</v>
      </c>
      <c r="P486" t="s">
        <v>28</v>
      </c>
      <c r="Q486" t="s">
        <v>124</v>
      </c>
      <c r="R486" t="s">
        <v>2762</v>
      </c>
      <c r="S486" t="s">
        <v>59</v>
      </c>
      <c r="T486">
        <v>6</v>
      </c>
      <c r="U486">
        <v>2909.56</v>
      </c>
      <c r="V486">
        <v>0.2</v>
      </c>
      <c r="W486">
        <v>0.2</v>
      </c>
      <c r="X486">
        <v>13965.89</v>
      </c>
      <c r="Y486">
        <f t="shared" si="56"/>
        <v>13965.89</v>
      </c>
      <c r="Z486">
        <v>11646.12</v>
      </c>
      <c r="AA486">
        <v>2319.77</v>
      </c>
      <c r="AB486">
        <f t="shared" si="61"/>
        <v>2319.7699999999986</v>
      </c>
      <c r="AC486" s="8">
        <f t="shared" si="62"/>
        <v>0.16610255415157921</v>
      </c>
      <c r="AD486" t="s">
        <v>32</v>
      </c>
      <c r="AE486" t="s">
        <v>33</v>
      </c>
      <c r="AF486" t="str">
        <f t="shared" si="63"/>
        <v>Perfect Match</v>
      </c>
    </row>
    <row r="487" spans="1:32">
      <c r="A487" s="6" t="str">
        <f>IF(OR(I487&lt;0, ISTEXT(W487), ISTEXT(Y487)), "Invalid", IF(OR(B487="Conflicting Duplicate", M487="Unknown", S487="Unknown"), "Warning", "Valid"))</f>
        <v>Invalid</v>
      </c>
      <c r="B487" t="str">
        <f t="shared" si="57"/>
        <v>-</v>
      </c>
      <c r="C487" t="s">
        <v>2763</v>
      </c>
      <c r="D487" s="2">
        <v>45573</v>
      </c>
      <c r="E487" t="str">
        <f t="shared" si="58"/>
        <v>October</v>
      </c>
      <c r="F487">
        <f t="shared" si="59"/>
        <v>2024</v>
      </c>
      <c r="G487" s="2">
        <v>45545</v>
      </c>
      <c r="H487" t="s">
        <v>2764</v>
      </c>
      <c r="I487" s="7">
        <f t="shared" si="60"/>
        <v>-28</v>
      </c>
      <c r="J487" s="7" t="s">
        <v>2802</v>
      </c>
      <c r="K487" t="s">
        <v>264</v>
      </c>
      <c r="L487" t="s">
        <v>90</v>
      </c>
      <c r="M487" t="s">
        <v>54</v>
      </c>
      <c r="N487" t="s">
        <v>247</v>
      </c>
      <c r="O487" t="s">
        <v>248</v>
      </c>
      <c r="P487" t="s">
        <v>74</v>
      </c>
      <c r="Q487" t="s">
        <v>274</v>
      </c>
      <c r="R487" t="s">
        <v>2765</v>
      </c>
      <c r="S487" t="s">
        <v>44</v>
      </c>
      <c r="T487">
        <v>5</v>
      </c>
      <c r="U487">
        <v>2407.9699999999998</v>
      </c>
      <c r="V487">
        <v>0.1</v>
      </c>
      <c r="W487">
        <v>0.1</v>
      </c>
      <c r="X487">
        <v>10835.86</v>
      </c>
      <c r="Y487">
        <f t="shared" si="56"/>
        <v>10835.87</v>
      </c>
      <c r="Z487">
        <v>6419.92</v>
      </c>
      <c r="AA487">
        <v>4415.9399999999996</v>
      </c>
      <c r="AB487">
        <f t="shared" si="61"/>
        <v>4415.9500000000007</v>
      </c>
      <c r="AC487" s="8">
        <f t="shared" si="62"/>
        <v>0.40753072895854237</v>
      </c>
      <c r="AD487" t="s">
        <v>155</v>
      </c>
      <c r="AE487" t="s">
        <v>68</v>
      </c>
      <c r="AF487" t="str">
        <f t="shared" si="63"/>
        <v>Mismatch Found</v>
      </c>
    </row>
    <row r="488" spans="1:32">
      <c r="A488" t="str">
        <f>IF(OR(I488&lt;0, ISTEXT(W488), ISTEXT(Y488)), "Invalid", IF(OR(B488="Conflicting Duplicate", M488="Unknown", S488="Unknown"), "Warning", "Valid"))</f>
        <v>Valid</v>
      </c>
      <c r="B488" t="str">
        <f t="shared" si="57"/>
        <v>-</v>
      </c>
      <c r="C488" t="s">
        <v>2769</v>
      </c>
      <c r="D488" s="2">
        <v>45449</v>
      </c>
      <c r="E488" t="str">
        <f t="shared" si="58"/>
        <v>June</v>
      </c>
      <c r="F488">
        <f t="shared" si="59"/>
        <v>2024</v>
      </c>
      <c r="G488" s="2">
        <v>45451</v>
      </c>
      <c r="H488" t="s">
        <v>2770</v>
      </c>
      <c r="I488">
        <f t="shared" si="60"/>
        <v>2</v>
      </c>
      <c r="J488" t="s">
        <v>2795</v>
      </c>
      <c r="K488" t="s">
        <v>128</v>
      </c>
      <c r="L488" t="s">
        <v>90</v>
      </c>
      <c r="M488" t="s">
        <v>54</v>
      </c>
      <c r="N488" t="s">
        <v>175</v>
      </c>
      <c r="O488" t="s">
        <v>176</v>
      </c>
      <c r="P488" t="s">
        <v>41</v>
      </c>
      <c r="Q488" t="s">
        <v>42</v>
      </c>
      <c r="R488" t="s">
        <v>2771</v>
      </c>
      <c r="S488" t="s">
        <v>31</v>
      </c>
      <c r="T488">
        <v>3</v>
      </c>
      <c r="U488">
        <v>395.49</v>
      </c>
      <c r="V488">
        <v>0.05</v>
      </c>
      <c r="W488">
        <v>0.05</v>
      </c>
      <c r="X488">
        <v>1127.1500000000001</v>
      </c>
      <c r="Y488">
        <f t="shared" si="56"/>
        <v>1127.1500000000001</v>
      </c>
      <c r="Z488">
        <v>845.62</v>
      </c>
      <c r="AA488">
        <v>281.52999999999997</v>
      </c>
      <c r="AB488">
        <f t="shared" si="61"/>
        <v>281.53000000000009</v>
      </c>
      <c r="AC488" s="8">
        <f t="shared" si="62"/>
        <v>0.24977154770882321</v>
      </c>
      <c r="AD488" t="s">
        <v>32</v>
      </c>
      <c r="AE488" t="s">
        <v>103</v>
      </c>
      <c r="AF488" t="str">
        <f t="shared" si="63"/>
        <v>Perfect Match</v>
      </c>
    </row>
    <row r="489" spans="1:32">
      <c r="A489" t="str">
        <f>IF(OR(I489&lt;0, ISTEXT(W489), ISTEXT(Y489)), "Invalid", IF(OR(B489="Conflicting Duplicate", M489="Unknown", S489="Unknown"), "Warning", "Valid"))</f>
        <v>Valid</v>
      </c>
      <c r="B489" t="str">
        <f t="shared" si="57"/>
        <v>-</v>
      </c>
      <c r="C489" t="s">
        <v>2772</v>
      </c>
      <c r="D489" s="2">
        <v>45344</v>
      </c>
      <c r="E489" t="str">
        <f t="shared" si="58"/>
        <v>February</v>
      </c>
      <c r="F489">
        <f t="shared" si="59"/>
        <v>2024</v>
      </c>
      <c r="G489" s="2">
        <v>45351</v>
      </c>
      <c r="H489" t="s">
        <v>2773</v>
      </c>
      <c r="I489">
        <f t="shared" si="60"/>
        <v>7</v>
      </c>
      <c r="J489" t="s">
        <v>2795</v>
      </c>
      <c r="K489" t="s">
        <v>47</v>
      </c>
      <c r="L489" t="s">
        <v>95</v>
      </c>
      <c r="M489" t="s">
        <v>54</v>
      </c>
      <c r="N489" t="s">
        <v>55</v>
      </c>
      <c r="O489" t="s">
        <v>56</v>
      </c>
      <c r="P489" t="s">
        <v>41</v>
      </c>
      <c r="Q489" t="s">
        <v>42</v>
      </c>
      <c r="R489" t="s">
        <v>2774</v>
      </c>
      <c r="S489" t="s">
        <v>50</v>
      </c>
      <c r="T489">
        <v>6</v>
      </c>
      <c r="U489">
        <v>4254.05</v>
      </c>
      <c r="V489">
        <v>0</v>
      </c>
      <c r="W489">
        <v>0</v>
      </c>
      <c r="X489">
        <v>25524.3</v>
      </c>
      <c r="Y489">
        <f t="shared" si="56"/>
        <v>25524.3</v>
      </c>
      <c r="Z489">
        <v>16711.93</v>
      </c>
      <c r="AA489">
        <v>8812.3700000000008</v>
      </c>
      <c r="AB489">
        <f t="shared" si="61"/>
        <v>8812.369999999999</v>
      </c>
      <c r="AC489" s="8">
        <f t="shared" si="62"/>
        <v>0.34525413037771846</v>
      </c>
      <c r="AD489" t="s">
        <v>32</v>
      </c>
      <c r="AE489" t="s">
        <v>33</v>
      </c>
      <c r="AF489" t="str">
        <f t="shared" si="63"/>
        <v>Perfect Match</v>
      </c>
    </row>
    <row r="490" spans="1:32">
      <c r="A490" t="str">
        <f>IF(OR(I490&lt;0, ISTEXT(W490), ISTEXT(Y490)), "Invalid", IF(OR(B490="Conflicting Duplicate", M490="Unknown", S490="Unknown"), "Warning", "Valid"))</f>
        <v>Valid</v>
      </c>
      <c r="B490" t="str">
        <f t="shared" si="57"/>
        <v>-</v>
      </c>
      <c r="C490" t="s">
        <v>2775</v>
      </c>
      <c r="D490" s="2">
        <v>45601</v>
      </c>
      <c r="E490" t="str">
        <f t="shared" si="58"/>
        <v>November</v>
      </c>
      <c r="F490">
        <f t="shared" si="59"/>
        <v>2024</v>
      </c>
      <c r="G490" s="2">
        <v>45606</v>
      </c>
      <c r="H490" t="s">
        <v>2776</v>
      </c>
      <c r="I490">
        <f t="shared" si="60"/>
        <v>5</v>
      </c>
      <c r="J490" t="s">
        <v>2795</v>
      </c>
      <c r="K490" t="s">
        <v>53</v>
      </c>
      <c r="L490" t="s">
        <v>24</v>
      </c>
      <c r="M490" t="s">
        <v>54</v>
      </c>
      <c r="N490" t="s">
        <v>185</v>
      </c>
      <c r="O490" t="s">
        <v>186</v>
      </c>
      <c r="P490" t="s">
        <v>41</v>
      </c>
      <c r="Q490" t="s">
        <v>66</v>
      </c>
      <c r="R490" t="s">
        <v>2777</v>
      </c>
      <c r="S490" t="s">
        <v>44</v>
      </c>
      <c r="T490">
        <v>4</v>
      </c>
      <c r="U490">
        <v>711.18</v>
      </c>
      <c r="V490">
        <v>0.15</v>
      </c>
      <c r="W490">
        <v>0.15</v>
      </c>
      <c r="X490">
        <v>2418.0100000000002</v>
      </c>
      <c r="Y490">
        <f t="shared" si="56"/>
        <v>2418.0100000000002</v>
      </c>
      <c r="Z490">
        <v>1441.89</v>
      </c>
      <c r="AA490">
        <v>976.12</v>
      </c>
      <c r="AB490">
        <f t="shared" si="61"/>
        <v>976.12000000000012</v>
      </c>
      <c r="AC490" s="8">
        <f t="shared" si="62"/>
        <v>0.40368732966364906</v>
      </c>
      <c r="AD490" t="s">
        <v>111</v>
      </c>
      <c r="AE490" t="s">
        <v>103</v>
      </c>
      <c r="AF490" t="str">
        <f t="shared" si="63"/>
        <v>Perfect Match</v>
      </c>
    </row>
    <row r="491" spans="1:32">
      <c r="A491" t="str">
        <f>IF(OR(I491&lt;0, ISTEXT(W491), ISTEXT(Y491)), "Invalid", IF(OR(B491="Conflicting Duplicate", M491="Unknown", S491="Unknown"), "Warning", "Valid"))</f>
        <v>Valid</v>
      </c>
      <c r="B491" t="str">
        <f t="shared" si="57"/>
        <v>-</v>
      </c>
      <c r="C491" t="s">
        <v>2778</v>
      </c>
      <c r="D491" s="2">
        <v>45650</v>
      </c>
      <c r="E491" t="str">
        <f t="shared" si="58"/>
        <v>December</v>
      </c>
      <c r="F491">
        <f t="shared" si="59"/>
        <v>2024</v>
      </c>
      <c r="G491" s="2">
        <v>45651</v>
      </c>
      <c r="H491" t="s">
        <v>2779</v>
      </c>
      <c r="I491">
        <f t="shared" si="60"/>
        <v>1</v>
      </c>
      <c r="J491" t="s">
        <v>2795</v>
      </c>
      <c r="K491" t="s">
        <v>62</v>
      </c>
      <c r="L491" t="s">
        <v>37</v>
      </c>
      <c r="M491" t="s">
        <v>54</v>
      </c>
      <c r="N491" t="s">
        <v>247</v>
      </c>
      <c r="O491" t="s">
        <v>248</v>
      </c>
      <c r="P491" t="s">
        <v>74</v>
      </c>
      <c r="Q491" t="s">
        <v>80</v>
      </c>
      <c r="R491" t="s">
        <v>2780</v>
      </c>
      <c r="S491" t="s">
        <v>31</v>
      </c>
      <c r="T491">
        <v>1</v>
      </c>
      <c r="U491">
        <v>3693.03</v>
      </c>
      <c r="V491">
        <v>0.05</v>
      </c>
      <c r="W491">
        <v>0.05</v>
      </c>
      <c r="X491">
        <v>3508.38</v>
      </c>
      <c r="Y491">
        <f t="shared" si="56"/>
        <v>3508.38</v>
      </c>
      <c r="Z491">
        <v>2828.06</v>
      </c>
      <c r="AA491">
        <v>680.32</v>
      </c>
      <c r="AB491">
        <f t="shared" si="61"/>
        <v>680.32000000000016</v>
      </c>
      <c r="AC491" s="8">
        <f t="shared" si="62"/>
        <v>0.19391286006646946</v>
      </c>
      <c r="AD491" t="s">
        <v>155</v>
      </c>
      <c r="AE491" t="s">
        <v>103</v>
      </c>
      <c r="AF491" t="str">
        <f t="shared" si="63"/>
        <v>Perfect Match</v>
      </c>
    </row>
    <row r="492" spans="1:32">
      <c r="A492" t="str">
        <f>IF(OR(I492&lt;0, ISTEXT(W492), ISTEXT(Y492)), "Invalid", IF(OR(B492="Conflicting Duplicate", M492="Unknown", S492="Unknown"), "Warning", "Valid"))</f>
        <v>Valid</v>
      </c>
      <c r="B492" t="str">
        <f t="shared" si="57"/>
        <v>-</v>
      </c>
      <c r="C492" t="s">
        <v>2783</v>
      </c>
      <c r="D492" s="2">
        <v>45445</v>
      </c>
      <c r="E492" t="str">
        <f t="shared" si="58"/>
        <v>June</v>
      </c>
      <c r="F492">
        <f t="shared" si="59"/>
        <v>2024</v>
      </c>
      <c r="G492" s="2">
        <v>45451</v>
      </c>
      <c r="H492" t="s">
        <v>2784</v>
      </c>
      <c r="I492">
        <f t="shared" si="60"/>
        <v>6</v>
      </c>
      <c r="J492" t="s">
        <v>2795</v>
      </c>
      <c r="K492" t="s">
        <v>71</v>
      </c>
      <c r="L492" t="s">
        <v>24</v>
      </c>
      <c r="M492" t="s">
        <v>25</v>
      </c>
      <c r="N492" t="s">
        <v>350</v>
      </c>
      <c r="O492" t="s">
        <v>351</v>
      </c>
      <c r="P492" t="s">
        <v>41</v>
      </c>
      <c r="Q492" t="s">
        <v>42</v>
      </c>
      <c r="R492" t="s">
        <v>2785</v>
      </c>
      <c r="S492" t="s">
        <v>50</v>
      </c>
      <c r="T492">
        <v>4</v>
      </c>
      <c r="U492">
        <v>1536.7</v>
      </c>
      <c r="V492">
        <v>0.2</v>
      </c>
      <c r="W492">
        <v>0.2</v>
      </c>
      <c r="X492">
        <v>4917.4399999999996</v>
      </c>
      <c r="Y492">
        <f t="shared" si="56"/>
        <v>4917.4399999999996</v>
      </c>
      <c r="Z492">
        <v>3846.77</v>
      </c>
      <c r="AA492">
        <v>1070.67</v>
      </c>
      <c r="AB492">
        <f t="shared" si="61"/>
        <v>1070.6699999999996</v>
      </c>
      <c r="AC492" s="8">
        <f t="shared" si="62"/>
        <v>0.2177291436194442</v>
      </c>
      <c r="AD492" t="s">
        <v>32</v>
      </c>
      <c r="AE492" t="s">
        <v>33</v>
      </c>
      <c r="AF492" t="str">
        <f t="shared" si="63"/>
        <v>Perfect Match</v>
      </c>
    </row>
    <row r="493" spans="1:32">
      <c r="A493" t="str">
        <f>IF(OR(I493&lt;0, ISTEXT(W493), ISTEXT(Y493)), "Invalid", IF(OR(B493="Conflicting Duplicate", M493="Unknown", S493="Unknown"), "Warning", "Valid"))</f>
        <v>Valid</v>
      </c>
      <c r="B493" t="str">
        <f t="shared" si="57"/>
        <v>-</v>
      </c>
      <c r="C493" t="s">
        <v>60</v>
      </c>
      <c r="D493" s="2">
        <v>45898</v>
      </c>
      <c r="E493" t="str">
        <f t="shared" si="58"/>
        <v>August</v>
      </c>
      <c r="F493">
        <f t="shared" si="59"/>
        <v>2025</v>
      </c>
      <c r="G493" s="2">
        <v>45901</v>
      </c>
      <c r="H493" t="s">
        <v>61</v>
      </c>
      <c r="I493">
        <f t="shared" si="60"/>
        <v>3</v>
      </c>
      <c r="J493" t="s">
        <v>2795</v>
      </c>
      <c r="K493" t="s">
        <v>62</v>
      </c>
      <c r="L493" t="s">
        <v>37</v>
      </c>
      <c r="M493" t="s">
        <v>63</v>
      </c>
      <c r="N493" t="s">
        <v>64</v>
      </c>
      <c r="O493" t="s">
        <v>65</v>
      </c>
      <c r="P493" t="s">
        <v>41</v>
      </c>
      <c r="Q493" t="s">
        <v>66</v>
      </c>
      <c r="R493" t="s">
        <v>67</v>
      </c>
      <c r="S493" t="s">
        <v>50</v>
      </c>
      <c r="T493">
        <v>7</v>
      </c>
      <c r="U493">
        <v>2973.76</v>
      </c>
      <c r="V493">
        <v>0</v>
      </c>
      <c r="W493">
        <v>0</v>
      </c>
      <c r="X493">
        <v>20816.32</v>
      </c>
      <c r="Y493">
        <f t="shared" si="56"/>
        <v>20816.32</v>
      </c>
      <c r="Z493">
        <v>17705.37</v>
      </c>
      <c r="AA493">
        <v>3110.95</v>
      </c>
      <c r="AB493">
        <f t="shared" si="61"/>
        <v>3110.9500000000007</v>
      </c>
      <c r="AC493" s="8">
        <f t="shared" si="62"/>
        <v>0.14944764492475138</v>
      </c>
      <c r="AD493" t="s">
        <v>32</v>
      </c>
      <c r="AE493" t="s">
        <v>68</v>
      </c>
      <c r="AF493" t="str">
        <f t="shared" si="63"/>
        <v>Perfect Match</v>
      </c>
    </row>
    <row r="494" spans="1:32">
      <c r="A494" t="str">
        <f>IF(OR(I494&lt;0, ISTEXT(W494), ISTEXT(Y494)), "Invalid", IF(OR(B494="Conflicting Duplicate", M494="Unknown", S494="Unknown"), "Warning", "Valid"))</f>
        <v>Valid</v>
      </c>
      <c r="B494" t="str">
        <f t="shared" si="57"/>
        <v>-</v>
      </c>
      <c r="C494" t="s">
        <v>77</v>
      </c>
      <c r="D494" s="2">
        <v>45757</v>
      </c>
      <c r="E494" t="str">
        <f t="shared" si="58"/>
        <v>April</v>
      </c>
      <c r="F494">
        <f t="shared" si="59"/>
        <v>2025</v>
      </c>
      <c r="G494" s="2">
        <v>45763</v>
      </c>
      <c r="H494" t="s">
        <v>78</v>
      </c>
      <c r="I494">
        <f t="shared" si="60"/>
        <v>6</v>
      </c>
      <c r="J494" t="s">
        <v>2795</v>
      </c>
      <c r="K494" t="s">
        <v>79</v>
      </c>
      <c r="L494" t="s">
        <v>24</v>
      </c>
      <c r="M494" t="s">
        <v>38</v>
      </c>
      <c r="N494" t="s">
        <v>39</v>
      </c>
      <c r="O494" t="s">
        <v>40</v>
      </c>
      <c r="P494" t="s">
        <v>74</v>
      </c>
      <c r="Q494" t="s">
        <v>80</v>
      </c>
      <c r="R494" t="s">
        <v>81</v>
      </c>
      <c r="S494" t="s">
        <v>59</v>
      </c>
      <c r="T494">
        <v>4</v>
      </c>
      <c r="U494">
        <v>1719.87</v>
      </c>
      <c r="V494">
        <v>0.15</v>
      </c>
      <c r="W494">
        <v>0.15</v>
      </c>
      <c r="X494">
        <v>5847.56</v>
      </c>
      <c r="Y494">
        <f t="shared" si="56"/>
        <v>5847.56</v>
      </c>
      <c r="Z494">
        <v>4727.25</v>
      </c>
      <c r="AA494">
        <v>1120.31</v>
      </c>
      <c r="AB494">
        <f t="shared" si="61"/>
        <v>1120.3100000000004</v>
      </c>
      <c r="AC494" s="8">
        <f t="shared" si="62"/>
        <v>0.19158589223539396</v>
      </c>
      <c r="AD494" t="s">
        <v>32</v>
      </c>
      <c r="AE494" t="s">
        <v>33</v>
      </c>
      <c r="AF494" t="str">
        <f t="shared" si="63"/>
        <v>Perfect Match</v>
      </c>
    </row>
    <row r="495" spans="1:32">
      <c r="A495" t="str">
        <f>IF(OR(I495&lt;0, ISTEXT(W495), ISTEXT(Y495)), "Invalid", IF(OR(B495="Conflicting Duplicate", M495="Unknown", S495="Unknown"), "Warning", "Valid"))</f>
        <v>Valid</v>
      </c>
      <c r="B495" t="str">
        <f t="shared" si="57"/>
        <v>-</v>
      </c>
      <c r="C495" t="s">
        <v>82</v>
      </c>
      <c r="D495" s="2">
        <v>45711</v>
      </c>
      <c r="E495" t="str">
        <f t="shared" si="58"/>
        <v>February</v>
      </c>
      <c r="F495">
        <f t="shared" si="59"/>
        <v>2025</v>
      </c>
      <c r="G495" s="2">
        <v>45714</v>
      </c>
      <c r="H495" t="s">
        <v>83</v>
      </c>
      <c r="I495">
        <f t="shared" si="60"/>
        <v>3</v>
      </c>
      <c r="J495" t="s">
        <v>2795</v>
      </c>
      <c r="K495" t="s">
        <v>47</v>
      </c>
      <c r="L495" t="s">
        <v>37</v>
      </c>
      <c r="M495" t="s">
        <v>54</v>
      </c>
      <c r="N495" t="s">
        <v>84</v>
      </c>
      <c r="O495" t="s">
        <v>85</v>
      </c>
      <c r="P495" t="s">
        <v>28</v>
      </c>
      <c r="Q495" t="s">
        <v>48</v>
      </c>
      <c r="R495" t="s">
        <v>86</v>
      </c>
      <c r="S495" t="s">
        <v>50</v>
      </c>
      <c r="T495">
        <v>1</v>
      </c>
      <c r="U495">
        <v>2980.71</v>
      </c>
      <c r="V495">
        <v>0</v>
      </c>
      <c r="W495">
        <v>0</v>
      </c>
      <c r="X495">
        <v>2980.71</v>
      </c>
      <c r="Y495">
        <f t="shared" si="56"/>
        <v>2980.71</v>
      </c>
      <c r="Z495">
        <v>2357.2199999999998</v>
      </c>
      <c r="AA495">
        <v>623.49</v>
      </c>
      <c r="AB495">
        <f t="shared" si="61"/>
        <v>623.49000000000024</v>
      </c>
      <c r="AC495" s="8">
        <f t="shared" si="62"/>
        <v>0.20917499521925992</v>
      </c>
      <c r="AD495" t="s">
        <v>32</v>
      </c>
      <c r="AE495" t="s">
        <v>33</v>
      </c>
      <c r="AF495" t="str">
        <f t="shared" si="63"/>
        <v>Perfect Match</v>
      </c>
    </row>
    <row r="496" spans="1:32">
      <c r="A496" t="str">
        <f>IF(OR(I496&lt;0, ISTEXT(W496), ISTEXT(Y496)), "Invalid", IF(OR(B496="Conflicting Duplicate", M496="Unknown", S496="Unknown"), "Warning", "Valid"))</f>
        <v>Valid</v>
      </c>
      <c r="B496" t="str">
        <f t="shared" si="57"/>
        <v>-</v>
      </c>
      <c r="C496" t="s">
        <v>93</v>
      </c>
      <c r="D496" s="2">
        <v>45847</v>
      </c>
      <c r="E496" t="str">
        <f t="shared" si="58"/>
        <v>July</v>
      </c>
      <c r="F496">
        <f t="shared" si="59"/>
        <v>2025</v>
      </c>
      <c r="G496" s="2">
        <v>45912</v>
      </c>
      <c r="H496" t="s">
        <v>94</v>
      </c>
      <c r="I496">
        <f t="shared" si="60"/>
        <v>65</v>
      </c>
      <c r="J496" t="s">
        <v>2795</v>
      </c>
      <c r="K496" t="s">
        <v>36</v>
      </c>
      <c r="L496" t="s">
        <v>95</v>
      </c>
      <c r="M496" t="s">
        <v>54</v>
      </c>
      <c r="N496" t="s">
        <v>55</v>
      </c>
      <c r="O496" t="s">
        <v>56</v>
      </c>
      <c r="P496" t="s">
        <v>28</v>
      </c>
      <c r="Q496" t="s">
        <v>29</v>
      </c>
      <c r="R496" t="s">
        <v>96</v>
      </c>
      <c r="S496" t="s">
        <v>31</v>
      </c>
      <c r="T496">
        <v>9</v>
      </c>
      <c r="U496">
        <v>852.04</v>
      </c>
      <c r="V496">
        <v>0.2</v>
      </c>
      <c r="W496">
        <v>0.2</v>
      </c>
      <c r="X496">
        <v>6134.69</v>
      </c>
      <c r="Y496">
        <f t="shared" si="56"/>
        <v>6134.69</v>
      </c>
      <c r="Z496">
        <v>3800.19</v>
      </c>
      <c r="AA496">
        <v>2334.5</v>
      </c>
      <c r="AB496">
        <f t="shared" si="61"/>
        <v>2334.4999999999995</v>
      </c>
      <c r="AC496" s="8">
        <f t="shared" si="62"/>
        <v>0.38054082602380879</v>
      </c>
      <c r="AD496" t="s">
        <v>32</v>
      </c>
      <c r="AE496" t="s">
        <v>33</v>
      </c>
      <c r="AF496" t="str">
        <f t="shared" si="63"/>
        <v>Perfect Match</v>
      </c>
    </row>
    <row r="497" spans="1:32">
      <c r="A497" t="str">
        <f>IF(OR(I497&lt;0, ISTEXT(W497), ISTEXT(Y497)), "Invalid", IF(OR(B497="Conflicting Duplicate", M497="Unknown", S497="Unknown"), "Warning", "Valid"))</f>
        <v>Valid</v>
      </c>
      <c r="B497" t="str">
        <f t="shared" si="57"/>
        <v>-</v>
      </c>
      <c r="C497" t="s">
        <v>97</v>
      </c>
      <c r="D497" s="2">
        <v>45797</v>
      </c>
      <c r="E497" t="str">
        <f t="shared" si="58"/>
        <v>May</v>
      </c>
      <c r="F497">
        <f t="shared" si="59"/>
        <v>2025</v>
      </c>
      <c r="G497" s="2">
        <v>45797</v>
      </c>
      <c r="H497" t="s">
        <v>98</v>
      </c>
      <c r="I497">
        <f t="shared" si="60"/>
        <v>0</v>
      </c>
      <c r="J497" t="s">
        <v>2795</v>
      </c>
      <c r="K497" t="s">
        <v>62</v>
      </c>
      <c r="L497" t="s">
        <v>90</v>
      </c>
      <c r="M497" t="s">
        <v>38</v>
      </c>
      <c r="N497" t="s">
        <v>99</v>
      </c>
      <c r="O497" t="s">
        <v>100</v>
      </c>
      <c r="P497" t="s">
        <v>28</v>
      </c>
      <c r="Q497" t="s">
        <v>91</v>
      </c>
      <c r="R497" t="s">
        <v>101</v>
      </c>
      <c r="S497" t="s">
        <v>31</v>
      </c>
      <c r="T497">
        <v>3</v>
      </c>
      <c r="U497">
        <v>3534.83</v>
      </c>
      <c r="V497">
        <v>0.05</v>
      </c>
      <c r="W497">
        <v>0.05</v>
      </c>
      <c r="X497">
        <v>10074.27</v>
      </c>
      <c r="Y497">
        <f t="shared" si="56"/>
        <v>10074.27</v>
      </c>
      <c r="Z497">
        <v>6048.27</v>
      </c>
      <c r="AA497">
        <v>4026</v>
      </c>
      <c r="AB497">
        <f t="shared" si="61"/>
        <v>4026</v>
      </c>
      <c r="AC497" s="8">
        <f t="shared" si="62"/>
        <v>0.39963193362893784</v>
      </c>
      <c r="AD497" t="s">
        <v>102</v>
      </c>
      <c r="AE497" t="s">
        <v>103</v>
      </c>
      <c r="AF497" t="str">
        <f t="shared" si="63"/>
        <v>Perfect Match</v>
      </c>
    </row>
    <row r="498" spans="1:32">
      <c r="A498" t="str">
        <f>IF(OR(I498&lt;0, ISTEXT(W498), ISTEXT(Y498)), "Invalid", IF(OR(B498="Conflicting Duplicate", M498="Unknown", S498="Unknown"), "Warning", "Valid"))</f>
        <v>Valid</v>
      </c>
      <c r="B498" t="str">
        <f t="shared" si="57"/>
        <v>-</v>
      </c>
      <c r="C498" t="s">
        <v>112</v>
      </c>
      <c r="D498" s="2">
        <v>45942</v>
      </c>
      <c r="E498" t="str">
        <f t="shared" si="58"/>
        <v>October</v>
      </c>
      <c r="F498">
        <f t="shared" si="59"/>
        <v>2025</v>
      </c>
      <c r="G498" s="2">
        <v>45946</v>
      </c>
      <c r="H498" t="s">
        <v>113</v>
      </c>
      <c r="I498">
        <f t="shared" si="60"/>
        <v>4</v>
      </c>
      <c r="J498" t="s">
        <v>2795</v>
      </c>
      <c r="K498" t="s">
        <v>114</v>
      </c>
      <c r="L498" t="s">
        <v>37</v>
      </c>
      <c r="M498" t="s">
        <v>63</v>
      </c>
      <c r="N498" t="s">
        <v>64</v>
      </c>
      <c r="O498" t="s">
        <v>65</v>
      </c>
      <c r="P498" t="s">
        <v>28</v>
      </c>
      <c r="Q498" t="s">
        <v>48</v>
      </c>
      <c r="R498" t="s">
        <v>115</v>
      </c>
      <c r="S498" t="s">
        <v>31</v>
      </c>
      <c r="T498">
        <v>7</v>
      </c>
      <c r="U498">
        <v>3964.72</v>
      </c>
      <c r="V498">
        <v>0.05</v>
      </c>
      <c r="W498">
        <v>0.05</v>
      </c>
      <c r="X498">
        <v>26365.39</v>
      </c>
      <c r="Y498">
        <f t="shared" si="56"/>
        <v>26365.39</v>
      </c>
      <c r="Z498">
        <v>22306.240000000002</v>
      </c>
      <c r="AA498">
        <v>4059.15</v>
      </c>
      <c r="AB498">
        <f t="shared" si="61"/>
        <v>4059.1499999999978</v>
      </c>
      <c r="AC498" s="8">
        <f t="shared" si="62"/>
        <v>0.1539575177913165</v>
      </c>
      <c r="AD498" t="s">
        <v>32</v>
      </c>
      <c r="AE498" t="s">
        <v>33</v>
      </c>
      <c r="AF498" t="str">
        <f t="shared" si="63"/>
        <v>Perfect Match</v>
      </c>
    </row>
    <row r="499" spans="1:32">
      <c r="A499" t="str">
        <f>IF(OR(I499&lt;0, ISTEXT(W499), ISTEXT(Y499)), "Invalid", IF(OR(B499="Conflicting Duplicate", M499="Unknown", S499="Unknown"), "Warning", "Valid"))</f>
        <v>Valid</v>
      </c>
      <c r="B499" t="str">
        <f t="shared" si="57"/>
        <v>-</v>
      </c>
      <c r="C499" t="s">
        <v>134</v>
      </c>
      <c r="D499" s="2">
        <v>45853</v>
      </c>
      <c r="E499" t="str">
        <f t="shared" si="58"/>
        <v>July</v>
      </c>
      <c r="F499">
        <f t="shared" si="59"/>
        <v>2025</v>
      </c>
      <c r="G499" s="2">
        <v>45855</v>
      </c>
      <c r="H499" t="s">
        <v>135</v>
      </c>
      <c r="I499">
        <f t="shared" si="60"/>
        <v>2</v>
      </c>
      <c r="J499" t="s">
        <v>2795</v>
      </c>
      <c r="K499" t="s">
        <v>128</v>
      </c>
      <c r="L499" t="s">
        <v>95</v>
      </c>
      <c r="M499" t="s">
        <v>25</v>
      </c>
      <c r="N499" t="s">
        <v>136</v>
      </c>
      <c r="O499" t="s">
        <v>137</v>
      </c>
      <c r="P499" t="s">
        <v>74</v>
      </c>
      <c r="Q499" t="s">
        <v>80</v>
      </c>
      <c r="R499" t="s">
        <v>138</v>
      </c>
      <c r="S499" t="s">
        <v>50</v>
      </c>
      <c r="T499">
        <v>2</v>
      </c>
      <c r="U499">
        <v>1997.99</v>
      </c>
      <c r="V499">
        <v>0</v>
      </c>
      <c r="W499">
        <v>0</v>
      </c>
      <c r="X499">
        <v>3995.98</v>
      </c>
      <c r="Y499">
        <f t="shared" si="56"/>
        <v>3995.98</v>
      </c>
      <c r="Z499">
        <v>2633.2</v>
      </c>
      <c r="AA499">
        <v>1362.78</v>
      </c>
      <c r="AB499">
        <f t="shared" si="61"/>
        <v>1362.7800000000002</v>
      </c>
      <c r="AC499" s="8">
        <f t="shared" si="62"/>
        <v>0.34103774293164635</v>
      </c>
      <c r="AD499" t="s">
        <v>102</v>
      </c>
      <c r="AE499" t="s">
        <v>68</v>
      </c>
      <c r="AF499" t="str">
        <f t="shared" si="63"/>
        <v>Perfect Match</v>
      </c>
    </row>
    <row r="500" spans="1:32">
      <c r="A500" t="str">
        <f>IF(OR(I500&lt;0, ISTEXT(W500), ISTEXT(Y500)), "Invalid", IF(OR(B500="Conflicting Duplicate", M500="Unknown", S500="Unknown"), "Warning", "Valid"))</f>
        <v>Valid</v>
      </c>
      <c r="B500" t="str">
        <f t="shared" si="57"/>
        <v>-</v>
      </c>
      <c r="C500" t="s">
        <v>143</v>
      </c>
      <c r="D500" s="2">
        <v>45678</v>
      </c>
      <c r="E500" t="str">
        <f t="shared" si="58"/>
        <v>January</v>
      </c>
      <c r="F500">
        <f t="shared" si="59"/>
        <v>2025</v>
      </c>
      <c r="G500" s="2">
        <v>45680</v>
      </c>
      <c r="H500" t="s">
        <v>144</v>
      </c>
      <c r="I500">
        <f t="shared" si="60"/>
        <v>2</v>
      </c>
      <c r="J500" t="s">
        <v>2795</v>
      </c>
      <c r="K500" t="s">
        <v>89</v>
      </c>
      <c r="L500" t="s">
        <v>95</v>
      </c>
      <c r="M500" t="s">
        <v>38</v>
      </c>
      <c r="N500" t="s">
        <v>145</v>
      </c>
      <c r="O500" t="s">
        <v>146</v>
      </c>
      <c r="P500" t="s">
        <v>74</v>
      </c>
      <c r="Q500" t="s">
        <v>80</v>
      </c>
      <c r="R500" t="s">
        <v>147</v>
      </c>
      <c r="S500" t="s">
        <v>50</v>
      </c>
      <c r="T500">
        <v>5</v>
      </c>
      <c r="U500">
        <v>4373.0600000000004</v>
      </c>
      <c r="V500">
        <v>0.25</v>
      </c>
      <c r="W500">
        <v>0.25</v>
      </c>
      <c r="X500">
        <v>16398.98</v>
      </c>
      <c r="Y500">
        <f t="shared" si="56"/>
        <v>16398.98</v>
      </c>
      <c r="Z500">
        <v>9556.52</v>
      </c>
      <c r="AA500">
        <v>6842.46</v>
      </c>
      <c r="AB500">
        <f t="shared" si="61"/>
        <v>6842.4599999999991</v>
      </c>
      <c r="AC500" s="8">
        <f t="shared" si="62"/>
        <v>0.41724912159170874</v>
      </c>
      <c r="AD500" t="s">
        <v>32</v>
      </c>
      <c r="AE500" t="s">
        <v>33</v>
      </c>
      <c r="AF500" t="str">
        <f t="shared" si="63"/>
        <v>Perfect Match</v>
      </c>
    </row>
    <row r="501" spans="1:32">
      <c r="A501" s="6" t="str">
        <f>IF(OR(I501&lt;0, ISTEXT(W501), ISTEXT(Y501)), "Invalid", IF(OR(B501="Conflicting Duplicate", M501="Unknown", S501="Unknown"), "Warning", "Valid"))</f>
        <v>Invalid</v>
      </c>
      <c r="B501" t="str">
        <f t="shared" si="57"/>
        <v>-</v>
      </c>
      <c r="C501" t="s">
        <v>148</v>
      </c>
      <c r="D501" s="2">
        <v>45681</v>
      </c>
      <c r="E501" t="str">
        <f t="shared" si="58"/>
        <v>January</v>
      </c>
      <c r="F501">
        <f t="shared" si="59"/>
        <v>2025</v>
      </c>
      <c r="G501" s="2">
        <v>45687</v>
      </c>
      <c r="H501" t="s">
        <v>149</v>
      </c>
      <c r="I501">
        <f t="shared" si="60"/>
        <v>6</v>
      </c>
      <c r="J501" t="s">
        <v>2795</v>
      </c>
      <c r="K501" t="s">
        <v>132</v>
      </c>
      <c r="L501" t="s">
        <v>24</v>
      </c>
      <c r="M501" t="s">
        <v>63</v>
      </c>
      <c r="N501" t="s">
        <v>72</v>
      </c>
      <c r="O501" t="s">
        <v>73</v>
      </c>
      <c r="P501" t="s">
        <v>41</v>
      </c>
      <c r="Q501" t="s">
        <v>57</v>
      </c>
      <c r="R501" t="s">
        <v>150</v>
      </c>
      <c r="S501" t="s">
        <v>31</v>
      </c>
      <c r="T501">
        <v>4</v>
      </c>
      <c r="U501">
        <v>697.69</v>
      </c>
      <c r="V501">
        <v>-0.23</v>
      </c>
      <c r="W501" s="4" t="s">
        <v>2794</v>
      </c>
      <c r="X501">
        <v>2790.76</v>
      </c>
      <c r="Y501" s="4" t="str">
        <f t="shared" si="56"/>
        <v>Cannot Calculate</v>
      </c>
      <c r="Z501">
        <v>2037.71</v>
      </c>
      <c r="AA501">
        <v>753.05</v>
      </c>
      <c r="AB501" s="4" t="str">
        <f t="shared" si="61"/>
        <v>Cannot Calculate</v>
      </c>
      <c r="AC501" s="9">
        <f t="shared" si="62"/>
        <v>0</v>
      </c>
      <c r="AD501" t="s">
        <v>32</v>
      </c>
      <c r="AE501" t="s">
        <v>33</v>
      </c>
      <c r="AF501" t="str">
        <f t="shared" si="63"/>
        <v>Calculation Blocked</v>
      </c>
    </row>
    <row r="502" spans="1:32">
      <c r="A502" t="str">
        <f>IF(OR(I502&lt;0, ISTEXT(W502), ISTEXT(Y502)), "Invalid", IF(OR(B502="Conflicting Duplicate", M502="Unknown", S502="Unknown"), "Warning", "Valid"))</f>
        <v>Valid</v>
      </c>
      <c r="B502" t="str">
        <f t="shared" si="57"/>
        <v>-</v>
      </c>
      <c r="C502" t="s">
        <v>151</v>
      </c>
      <c r="D502" s="2">
        <v>45676</v>
      </c>
      <c r="E502" t="str">
        <f t="shared" si="58"/>
        <v>January</v>
      </c>
      <c r="F502">
        <f t="shared" si="59"/>
        <v>2025</v>
      </c>
      <c r="G502" s="2">
        <v>45678</v>
      </c>
      <c r="H502" t="s">
        <v>152</v>
      </c>
      <c r="I502">
        <f t="shared" si="60"/>
        <v>2</v>
      </c>
      <c r="J502" t="s">
        <v>2795</v>
      </c>
      <c r="K502" t="s">
        <v>36</v>
      </c>
      <c r="L502" t="s">
        <v>24</v>
      </c>
      <c r="M502" t="s">
        <v>54</v>
      </c>
      <c r="N502" t="s">
        <v>55</v>
      </c>
      <c r="O502" t="s">
        <v>56</v>
      </c>
      <c r="P502" t="s">
        <v>28</v>
      </c>
      <c r="Q502" t="s">
        <v>153</v>
      </c>
      <c r="R502" t="s">
        <v>154</v>
      </c>
      <c r="S502" t="s">
        <v>59</v>
      </c>
      <c r="T502">
        <v>8</v>
      </c>
      <c r="U502">
        <v>1219.3399999999999</v>
      </c>
      <c r="V502">
        <v>0.15</v>
      </c>
      <c r="W502">
        <v>0.15</v>
      </c>
      <c r="X502">
        <v>8291.51</v>
      </c>
      <c r="Y502">
        <f t="shared" si="56"/>
        <v>8291.51</v>
      </c>
      <c r="Z502">
        <v>6685.03</v>
      </c>
      <c r="AA502">
        <v>1606.48</v>
      </c>
      <c r="AB502">
        <f t="shared" si="61"/>
        <v>1606.4800000000005</v>
      </c>
      <c r="AC502" s="8">
        <f t="shared" si="62"/>
        <v>0.19374999246216917</v>
      </c>
      <c r="AD502" t="s">
        <v>155</v>
      </c>
      <c r="AE502" t="s">
        <v>103</v>
      </c>
      <c r="AF502" t="str">
        <f t="shared" si="63"/>
        <v>Perfect Match</v>
      </c>
    </row>
    <row r="503" spans="1:32">
      <c r="A503" t="str">
        <f>IF(OR(I503&lt;0, ISTEXT(W503), ISTEXT(Y503)), "Invalid", IF(OR(B503="Conflicting Duplicate", M503="Unknown", S503="Unknown"), "Warning", "Valid"))</f>
        <v>Valid</v>
      </c>
      <c r="B503" t="str">
        <f t="shared" si="57"/>
        <v>-</v>
      </c>
      <c r="C503" t="s">
        <v>156</v>
      </c>
      <c r="D503" s="2">
        <v>45898</v>
      </c>
      <c r="E503" t="str">
        <f t="shared" si="58"/>
        <v>August</v>
      </c>
      <c r="F503">
        <f t="shared" si="59"/>
        <v>2025</v>
      </c>
      <c r="G503" s="2">
        <v>45900</v>
      </c>
      <c r="H503" t="s">
        <v>157</v>
      </c>
      <c r="I503">
        <f t="shared" si="60"/>
        <v>2</v>
      </c>
      <c r="J503" t="s">
        <v>2795</v>
      </c>
      <c r="K503" t="s">
        <v>118</v>
      </c>
      <c r="L503" t="s">
        <v>95</v>
      </c>
      <c r="M503" t="s">
        <v>38</v>
      </c>
      <c r="N503" t="s">
        <v>145</v>
      </c>
      <c r="O503" t="s">
        <v>146</v>
      </c>
      <c r="P503" t="s">
        <v>41</v>
      </c>
      <c r="Q503" t="s">
        <v>158</v>
      </c>
      <c r="R503" t="s">
        <v>159</v>
      </c>
      <c r="S503" t="s">
        <v>50</v>
      </c>
      <c r="T503">
        <v>4</v>
      </c>
      <c r="U503">
        <v>1958.01</v>
      </c>
      <c r="V503">
        <v>0.2</v>
      </c>
      <c r="W503">
        <v>0.2</v>
      </c>
      <c r="X503">
        <v>6265.63</v>
      </c>
      <c r="Y503">
        <f t="shared" si="56"/>
        <v>6265.63</v>
      </c>
      <c r="Z503">
        <v>4321.8599999999997</v>
      </c>
      <c r="AA503">
        <v>1943.77</v>
      </c>
      <c r="AB503">
        <f t="shared" si="61"/>
        <v>1943.7700000000004</v>
      </c>
      <c r="AC503" s="8">
        <f t="shared" si="62"/>
        <v>0.31022738335969413</v>
      </c>
      <c r="AD503" t="s">
        <v>32</v>
      </c>
      <c r="AE503" t="s">
        <v>33</v>
      </c>
      <c r="AF503" t="str">
        <f t="shared" si="63"/>
        <v>Perfect Match</v>
      </c>
    </row>
    <row r="504" spans="1:32">
      <c r="A504" s="6" t="str">
        <f>IF(OR(I504&lt;0, ISTEXT(W504), ISTEXT(Y504)), "Invalid", IF(OR(B504="Conflicting Duplicate", M504="Unknown", S504="Unknown"), "Warning", "Valid"))</f>
        <v>Invalid</v>
      </c>
      <c r="B504" t="str">
        <f t="shared" si="57"/>
        <v>-</v>
      </c>
      <c r="C504" t="s">
        <v>173</v>
      </c>
      <c r="D504" s="2">
        <v>45929</v>
      </c>
      <c r="E504" t="str">
        <f t="shared" si="58"/>
        <v>September</v>
      </c>
      <c r="F504">
        <f t="shared" si="59"/>
        <v>2025</v>
      </c>
      <c r="G504" s="2">
        <v>45787</v>
      </c>
      <c r="H504" t="s">
        <v>174</v>
      </c>
      <c r="I504" s="7">
        <f t="shared" si="60"/>
        <v>-142</v>
      </c>
      <c r="J504" s="7" t="s">
        <v>2802</v>
      </c>
      <c r="K504" t="s">
        <v>53</v>
      </c>
      <c r="L504" t="s">
        <v>37</v>
      </c>
      <c r="M504" t="s">
        <v>54</v>
      </c>
      <c r="N504" t="s">
        <v>175</v>
      </c>
      <c r="O504" t="s">
        <v>176</v>
      </c>
      <c r="P504" t="s">
        <v>28</v>
      </c>
      <c r="Q504" t="s">
        <v>29</v>
      </c>
      <c r="R504" t="s">
        <v>177</v>
      </c>
      <c r="S504" t="s">
        <v>31</v>
      </c>
      <c r="T504">
        <v>5</v>
      </c>
      <c r="U504">
        <v>1806.51</v>
      </c>
      <c r="V504">
        <v>0.25</v>
      </c>
      <c r="W504">
        <v>0.25</v>
      </c>
      <c r="X504">
        <v>6774.41</v>
      </c>
      <c r="Y504">
        <f t="shared" si="56"/>
        <v>6774.41</v>
      </c>
      <c r="Z504">
        <v>4710.3599999999997</v>
      </c>
      <c r="AA504">
        <v>2064.0500000000002</v>
      </c>
      <c r="AB504">
        <f t="shared" si="61"/>
        <v>2064.0500000000002</v>
      </c>
      <c r="AC504" s="8">
        <f t="shared" si="62"/>
        <v>0.30468335987931056</v>
      </c>
      <c r="AD504" t="s">
        <v>155</v>
      </c>
      <c r="AE504" t="s">
        <v>103</v>
      </c>
      <c r="AF504" t="str">
        <f t="shared" si="63"/>
        <v>Perfect Match</v>
      </c>
    </row>
    <row r="505" spans="1:32">
      <c r="A505" t="str">
        <f>IF(OR(I505&lt;0, ISTEXT(W505), ISTEXT(Y505)), "Invalid", IF(OR(B505="Conflicting Duplicate", M505="Unknown", S505="Unknown"), "Warning", "Valid"))</f>
        <v>Valid</v>
      </c>
      <c r="B505" t="str">
        <f t="shared" si="57"/>
        <v>-</v>
      </c>
      <c r="C505" t="s">
        <v>183</v>
      </c>
      <c r="D505" s="2">
        <v>45882</v>
      </c>
      <c r="E505" t="str">
        <f t="shared" si="58"/>
        <v>August</v>
      </c>
      <c r="F505">
        <f t="shared" si="59"/>
        <v>2025</v>
      </c>
      <c r="G505" s="2">
        <v>45882</v>
      </c>
      <c r="H505" t="s">
        <v>184</v>
      </c>
      <c r="I505">
        <f t="shared" si="60"/>
        <v>0</v>
      </c>
      <c r="J505" t="s">
        <v>2795</v>
      </c>
      <c r="K505" t="s">
        <v>141</v>
      </c>
      <c r="L505" t="s">
        <v>95</v>
      </c>
      <c r="M505" t="s">
        <v>54</v>
      </c>
      <c r="N505" t="s">
        <v>185</v>
      </c>
      <c r="O505" t="s">
        <v>186</v>
      </c>
      <c r="P505" t="s">
        <v>74</v>
      </c>
      <c r="Q505" t="s">
        <v>171</v>
      </c>
      <c r="R505" t="s">
        <v>187</v>
      </c>
      <c r="S505" t="s">
        <v>59</v>
      </c>
      <c r="T505">
        <v>1</v>
      </c>
      <c r="U505">
        <v>256.01</v>
      </c>
      <c r="V505">
        <v>0.15</v>
      </c>
      <c r="W505">
        <v>0.15</v>
      </c>
      <c r="X505">
        <v>217.61</v>
      </c>
      <c r="Y505">
        <f t="shared" si="56"/>
        <v>217.61</v>
      </c>
      <c r="Z505">
        <v>119.77</v>
      </c>
      <c r="AA505">
        <v>97.84</v>
      </c>
      <c r="AB505">
        <f t="shared" si="61"/>
        <v>97.840000000000018</v>
      </c>
      <c r="AC505" s="8">
        <f t="shared" si="62"/>
        <v>0.44961169063921702</v>
      </c>
      <c r="AD505" t="s">
        <v>32</v>
      </c>
      <c r="AE505" t="s">
        <v>33</v>
      </c>
      <c r="AF505" t="str">
        <f t="shared" si="63"/>
        <v>Perfect Match</v>
      </c>
    </row>
    <row r="506" spans="1:32">
      <c r="A506" t="str">
        <f>IF(OR(I506&lt;0, ISTEXT(W506), ISTEXT(Y506)), "Invalid", IF(OR(B506="Conflicting Duplicate", M506="Unknown", S506="Unknown"), "Warning", "Valid"))</f>
        <v>Valid</v>
      </c>
      <c r="B506" t="str">
        <f t="shared" si="57"/>
        <v>-</v>
      </c>
      <c r="C506" t="s">
        <v>193</v>
      </c>
      <c r="D506" s="2">
        <v>45823</v>
      </c>
      <c r="E506" t="str">
        <f t="shared" si="58"/>
        <v>June</v>
      </c>
      <c r="F506">
        <f t="shared" si="59"/>
        <v>2025</v>
      </c>
      <c r="G506" s="2">
        <v>45827</v>
      </c>
      <c r="H506" t="s">
        <v>194</v>
      </c>
      <c r="I506">
        <f t="shared" si="60"/>
        <v>4</v>
      </c>
      <c r="J506" t="s">
        <v>2795</v>
      </c>
      <c r="K506" t="s">
        <v>23</v>
      </c>
      <c r="L506" t="s">
        <v>37</v>
      </c>
      <c r="M506" t="s">
        <v>63</v>
      </c>
      <c r="N506" t="s">
        <v>72</v>
      </c>
      <c r="O506" t="s">
        <v>73</v>
      </c>
      <c r="P506" t="s">
        <v>28</v>
      </c>
      <c r="Q506" t="s">
        <v>29</v>
      </c>
      <c r="R506" t="s">
        <v>195</v>
      </c>
      <c r="S506" t="s">
        <v>31</v>
      </c>
      <c r="T506">
        <v>9</v>
      </c>
      <c r="U506">
        <v>3092.55</v>
      </c>
      <c r="V506">
        <v>0</v>
      </c>
      <c r="W506">
        <v>0</v>
      </c>
      <c r="X506">
        <v>27832.95</v>
      </c>
      <c r="Y506">
        <f t="shared" si="56"/>
        <v>27832.95</v>
      </c>
      <c r="Z506">
        <v>17769.75</v>
      </c>
      <c r="AA506">
        <v>10063.200000000001</v>
      </c>
      <c r="AB506">
        <f t="shared" si="61"/>
        <v>10063.200000000001</v>
      </c>
      <c r="AC506" s="8">
        <f t="shared" si="62"/>
        <v>0.36155707533696574</v>
      </c>
      <c r="AD506" t="s">
        <v>155</v>
      </c>
      <c r="AE506" t="s">
        <v>103</v>
      </c>
      <c r="AF506" t="str">
        <f t="shared" si="63"/>
        <v>Perfect Match</v>
      </c>
    </row>
    <row r="507" spans="1:32">
      <c r="A507" s="6" t="str">
        <f>IF(OR(I507&lt;0, ISTEXT(W507), ISTEXT(Y507)), "Invalid", IF(OR(B507="Conflicting Duplicate", M507="Unknown", S507="Unknown"), "Warning", "Valid"))</f>
        <v>Warning</v>
      </c>
      <c r="B507" t="str">
        <f t="shared" si="57"/>
        <v>-</v>
      </c>
      <c r="C507" t="s">
        <v>202</v>
      </c>
      <c r="D507" s="2">
        <v>45688</v>
      </c>
      <c r="E507" t="str">
        <f t="shared" si="58"/>
        <v>January</v>
      </c>
      <c r="F507">
        <f t="shared" si="59"/>
        <v>2025</v>
      </c>
      <c r="G507" s="2">
        <v>45693</v>
      </c>
      <c r="H507" t="s">
        <v>203</v>
      </c>
      <c r="I507">
        <f t="shared" si="60"/>
        <v>5</v>
      </c>
      <c r="J507" t="s">
        <v>2795</v>
      </c>
      <c r="K507" t="s">
        <v>114</v>
      </c>
      <c r="L507" t="s">
        <v>95</v>
      </c>
      <c r="M507" t="s">
        <v>38</v>
      </c>
      <c r="N507" t="s">
        <v>99</v>
      </c>
      <c r="O507" t="s">
        <v>100</v>
      </c>
      <c r="P507" t="s">
        <v>41</v>
      </c>
      <c r="Q507" t="s">
        <v>66</v>
      </c>
      <c r="R507" t="s">
        <v>204</v>
      </c>
      <c r="S507" s="4" t="s">
        <v>2790</v>
      </c>
      <c r="T507">
        <v>2</v>
      </c>
      <c r="U507">
        <v>4159.6899999999996</v>
      </c>
      <c r="V507">
        <v>0.2</v>
      </c>
      <c r="W507">
        <v>0.2</v>
      </c>
      <c r="X507">
        <v>6655.5</v>
      </c>
      <c r="Y507">
        <f t="shared" si="56"/>
        <v>6655.5</v>
      </c>
      <c r="Z507">
        <v>4340.21</v>
      </c>
      <c r="AA507">
        <v>2607.3200000000002</v>
      </c>
      <c r="AB507">
        <f t="shared" si="61"/>
        <v>2315.29</v>
      </c>
      <c r="AC507" s="8">
        <f t="shared" si="62"/>
        <v>0.34787619262264291</v>
      </c>
      <c r="AD507" t="s">
        <v>32</v>
      </c>
      <c r="AE507" t="s">
        <v>33</v>
      </c>
      <c r="AF507" t="str">
        <f t="shared" si="63"/>
        <v>Mismatch Found</v>
      </c>
    </row>
    <row r="508" spans="1:32">
      <c r="A508" t="str">
        <f>IF(OR(I508&lt;0, ISTEXT(W508), ISTEXT(Y508)), "Invalid", IF(OR(B508="Conflicting Duplicate", M508="Unknown", S508="Unknown"), "Warning", "Valid"))</f>
        <v>Valid</v>
      </c>
      <c r="B508" t="str">
        <f t="shared" si="57"/>
        <v>-</v>
      </c>
      <c r="C508" t="s">
        <v>211</v>
      </c>
      <c r="D508" s="2">
        <v>45867</v>
      </c>
      <c r="E508" t="str">
        <f t="shared" si="58"/>
        <v>July</v>
      </c>
      <c r="F508">
        <f t="shared" si="59"/>
        <v>2025</v>
      </c>
      <c r="G508" s="2">
        <v>45867</v>
      </c>
      <c r="H508" t="s">
        <v>212</v>
      </c>
      <c r="I508">
        <f t="shared" si="60"/>
        <v>0</v>
      </c>
      <c r="J508" t="s">
        <v>2795</v>
      </c>
      <c r="K508" t="s">
        <v>162</v>
      </c>
      <c r="L508" t="s">
        <v>24</v>
      </c>
      <c r="M508" t="s">
        <v>63</v>
      </c>
      <c r="N508" t="s">
        <v>64</v>
      </c>
      <c r="O508" t="s">
        <v>65</v>
      </c>
      <c r="P508" t="s">
        <v>74</v>
      </c>
      <c r="Q508" t="s">
        <v>80</v>
      </c>
      <c r="R508" t="s">
        <v>213</v>
      </c>
      <c r="S508" t="s">
        <v>59</v>
      </c>
      <c r="T508">
        <v>4</v>
      </c>
      <c r="U508">
        <v>1327.54</v>
      </c>
      <c r="V508">
        <v>0.2</v>
      </c>
      <c r="W508">
        <v>0.2</v>
      </c>
      <c r="X508">
        <v>4248.13</v>
      </c>
      <c r="Y508">
        <f t="shared" si="56"/>
        <v>4248.13</v>
      </c>
      <c r="Z508">
        <v>3321.09</v>
      </c>
      <c r="AA508">
        <v>927.04</v>
      </c>
      <c r="AB508">
        <f t="shared" si="61"/>
        <v>927.04</v>
      </c>
      <c r="AC508" s="8">
        <f t="shared" si="62"/>
        <v>0.21822307697739945</v>
      </c>
      <c r="AD508" t="s">
        <v>32</v>
      </c>
      <c r="AE508" t="s">
        <v>33</v>
      </c>
      <c r="AF508" t="str">
        <f t="shared" si="63"/>
        <v>Perfect Match</v>
      </c>
    </row>
    <row r="509" spans="1:32">
      <c r="A509" t="str">
        <f>IF(OR(I509&lt;0, ISTEXT(W509), ISTEXT(Y509)), "Invalid", IF(OR(B509="Conflicting Duplicate", M509="Unknown", S509="Unknown"), "Warning", "Valid"))</f>
        <v>Valid</v>
      </c>
      <c r="B509" t="str">
        <f t="shared" si="57"/>
        <v>-</v>
      </c>
      <c r="C509" t="s">
        <v>226</v>
      </c>
      <c r="D509" s="2">
        <v>45940</v>
      </c>
      <c r="E509" t="str">
        <f t="shared" si="58"/>
        <v>October</v>
      </c>
      <c r="F509">
        <f t="shared" si="59"/>
        <v>2025</v>
      </c>
      <c r="G509" s="2">
        <v>45945</v>
      </c>
      <c r="H509" t="s">
        <v>227</v>
      </c>
      <c r="I509">
        <f t="shared" si="60"/>
        <v>5</v>
      </c>
      <c r="J509" t="s">
        <v>2795</v>
      </c>
      <c r="K509" t="s">
        <v>53</v>
      </c>
      <c r="L509" t="s">
        <v>90</v>
      </c>
      <c r="M509" t="s">
        <v>38</v>
      </c>
      <c r="N509" t="s">
        <v>228</v>
      </c>
      <c r="O509" t="s">
        <v>229</v>
      </c>
      <c r="P509" t="s">
        <v>74</v>
      </c>
      <c r="Q509" t="s">
        <v>171</v>
      </c>
      <c r="R509" t="s">
        <v>230</v>
      </c>
      <c r="S509" t="s">
        <v>59</v>
      </c>
      <c r="T509">
        <v>8</v>
      </c>
      <c r="U509">
        <v>979.87</v>
      </c>
      <c r="V509">
        <v>0.05</v>
      </c>
      <c r="W509">
        <v>0.05</v>
      </c>
      <c r="X509">
        <v>7447.01</v>
      </c>
      <c r="Y509">
        <f t="shared" si="56"/>
        <v>7447.01</v>
      </c>
      <c r="Z509">
        <v>4496.22</v>
      </c>
      <c r="AA509">
        <v>2950.79</v>
      </c>
      <c r="AB509">
        <f t="shared" si="61"/>
        <v>2950.79</v>
      </c>
      <c r="AC509" s="8">
        <f t="shared" si="62"/>
        <v>0.39623822178297058</v>
      </c>
      <c r="AD509" t="s">
        <v>32</v>
      </c>
      <c r="AE509" t="s">
        <v>33</v>
      </c>
      <c r="AF509" t="str">
        <f t="shared" si="63"/>
        <v>Perfect Match</v>
      </c>
    </row>
    <row r="510" spans="1:32">
      <c r="A510" t="str">
        <f>IF(OR(I510&lt;0, ISTEXT(W510), ISTEXT(Y510)), "Invalid", IF(OR(B510="Conflicting Duplicate", M510="Unknown", S510="Unknown"), "Warning", "Valid"))</f>
        <v>Valid</v>
      </c>
      <c r="B510" t="str">
        <f t="shared" si="57"/>
        <v>-</v>
      </c>
      <c r="C510" t="s">
        <v>250</v>
      </c>
      <c r="D510" s="2">
        <v>45687</v>
      </c>
      <c r="E510" t="str">
        <f t="shared" si="58"/>
        <v>January</v>
      </c>
      <c r="F510">
        <f t="shared" si="59"/>
        <v>2025</v>
      </c>
      <c r="G510" s="2">
        <v>45693</v>
      </c>
      <c r="H510" t="s">
        <v>251</v>
      </c>
      <c r="I510">
        <f t="shared" si="60"/>
        <v>6</v>
      </c>
      <c r="J510" t="s">
        <v>2795</v>
      </c>
      <c r="K510" t="s">
        <v>79</v>
      </c>
      <c r="L510" t="s">
        <v>90</v>
      </c>
      <c r="M510" t="s">
        <v>63</v>
      </c>
      <c r="N510" t="s">
        <v>64</v>
      </c>
      <c r="O510" t="s">
        <v>65</v>
      </c>
      <c r="P510" t="s">
        <v>41</v>
      </c>
      <c r="Q510" t="s">
        <v>66</v>
      </c>
      <c r="R510" t="s">
        <v>252</v>
      </c>
      <c r="S510" t="s">
        <v>31</v>
      </c>
      <c r="T510">
        <v>7</v>
      </c>
      <c r="U510">
        <v>4063.66</v>
      </c>
      <c r="V510">
        <v>0</v>
      </c>
      <c r="W510">
        <v>0</v>
      </c>
      <c r="X510">
        <v>28445.62</v>
      </c>
      <c r="Y510">
        <f t="shared" si="56"/>
        <v>28445.62</v>
      </c>
      <c r="Z510">
        <v>20938.59</v>
      </c>
      <c r="AA510">
        <v>7507.03</v>
      </c>
      <c r="AB510">
        <f t="shared" si="61"/>
        <v>7507.0299999999988</v>
      </c>
      <c r="AC510" s="8">
        <f t="shared" si="62"/>
        <v>0.26390811660986818</v>
      </c>
      <c r="AD510" t="s">
        <v>32</v>
      </c>
      <c r="AE510" t="s">
        <v>33</v>
      </c>
      <c r="AF510" t="str">
        <f t="shared" si="63"/>
        <v>Perfect Match</v>
      </c>
    </row>
    <row r="511" spans="1:32">
      <c r="A511" t="str">
        <f>IF(OR(I511&lt;0, ISTEXT(W511), ISTEXT(Y511)), "Invalid", IF(OR(B511="Conflicting Duplicate", M511="Unknown", S511="Unknown"), "Warning", "Valid"))</f>
        <v>Valid</v>
      </c>
      <c r="B511" t="str">
        <f t="shared" si="57"/>
        <v>-</v>
      </c>
      <c r="C511" t="s">
        <v>256</v>
      </c>
      <c r="D511" s="2">
        <v>45788</v>
      </c>
      <c r="E511" t="str">
        <f t="shared" si="58"/>
        <v>May</v>
      </c>
      <c r="F511">
        <f t="shared" si="59"/>
        <v>2025</v>
      </c>
      <c r="G511" s="2">
        <v>45796</v>
      </c>
      <c r="H511" t="s">
        <v>257</v>
      </c>
      <c r="I511">
        <f t="shared" si="60"/>
        <v>8</v>
      </c>
      <c r="J511" t="s">
        <v>2795</v>
      </c>
      <c r="K511" t="s">
        <v>132</v>
      </c>
      <c r="L511" t="s">
        <v>24</v>
      </c>
      <c r="M511" t="s">
        <v>38</v>
      </c>
      <c r="N511" t="s">
        <v>99</v>
      </c>
      <c r="O511" t="s">
        <v>100</v>
      </c>
      <c r="P511" t="s">
        <v>74</v>
      </c>
      <c r="Q511" t="s">
        <v>80</v>
      </c>
      <c r="R511" t="s">
        <v>258</v>
      </c>
      <c r="S511" t="s">
        <v>59</v>
      </c>
      <c r="T511">
        <v>1</v>
      </c>
      <c r="U511">
        <v>2382.8000000000002</v>
      </c>
      <c r="V511">
        <v>0.15</v>
      </c>
      <c r="W511">
        <v>0.15</v>
      </c>
      <c r="X511">
        <v>2025.38</v>
      </c>
      <c r="Y511">
        <f t="shared" si="56"/>
        <v>2025.38</v>
      </c>
      <c r="Z511">
        <v>1140.6500000000001</v>
      </c>
      <c r="AA511">
        <v>884.73</v>
      </c>
      <c r="AB511">
        <f t="shared" si="61"/>
        <v>884.73</v>
      </c>
      <c r="AC511" s="8">
        <f t="shared" si="62"/>
        <v>0.43682173221815163</v>
      </c>
      <c r="AD511" t="s">
        <v>32</v>
      </c>
      <c r="AE511" t="s">
        <v>33</v>
      </c>
      <c r="AF511" t="str">
        <f t="shared" si="63"/>
        <v>Perfect Match</v>
      </c>
    </row>
    <row r="512" spans="1:32">
      <c r="A512" t="str">
        <f>IF(OR(I512&lt;0, ISTEXT(W512), ISTEXT(Y512)), "Invalid", IF(OR(B512="Conflicting Duplicate", M512="Unknown", S512="Unknown"), "Warning", "Valid"))</f>
        <v>Valid</v>
      </c>
      <c r="B512" t="str">
        <f t="shared" si="57"/>
        <v>-</v>
      </c>
      <c r="C512" t="s">
        <v>266</v>
      </c>
      <c r="D512" s="2">
        <v>45747</v>
      </c>
      <c r="E512" t="str">
        <f t="shared" si="58"/>
        <v>March</v>
      </c>
      <c r="F512">
        <f t="shared" si="59"/>
        <v>2025</v>
      </c>
      <c r="G512" s="2">
        <v>45747</v>
      </c>
      <c r="H512" t="s">
        <v>267</v>
      </c>
      <c r="I512">
        <f t="shared" si="60"/>
        <v>0</v>
      </c>
      <c r="J512" t="s">
        <v>2795</v>
      </c>
      <c r="K512" t="s">
        <v>264</v>
      </c>
      <c r="L512" t="s">
        <v>95</v>
      </c>
      <c r="M512" t="s">
        <v>63</v>
      </c>
      <c r="N512" t="s">
        <v>180</v>
      </c>
      <c r="O512" t="s">
        <v>181</v>
      </c>
      <c r="P512" t="s">
        <v>28</v>
      </c>
      <c r="Q512" t="s">
        <v>124</v>
      </c>
      <c r="R512" t="s">
        <v>268</v>
      </c>
      <c r="S512" t="s">
        <v>50</v>
      </c>
      <c r="T512">
        <v>5</v>
      </c>
      <c r="U512">
        <v>1207.47</v>
      </c>
      <c r="V512">
        <v>0.15</v>
      </c>
      <c r="W512">
        <v>0.15</v>
      </c>
      <c r="X512">
        <v>5131.75</v>
      </c>
      <c r="Y512">
        <f t="shared" si="56"/>
        <v>5131.75</v>
      </c>
      <c r="Z512">
        <v>2838.68</v>
      </c>
      <c r="AA512">
        <v>2293.0700000000002</v>
      </c>
      <c r="AB512">
        <f t="shared" si="61"/>
        <v>2293.0700000000002</v>
      </c>
      <c r="AC512" s="8">
        <f t="shared" si="62"/>
        <v>0.44683977200759978</v>
      </c>
      <c r="AD512" t="s">
        <v>32</v>
      </c>
      <c r="AE512" t="s">
        <v>33</v>
      </c>
      <c r="AF512" t="str">
        <f t="shared" si="63"/>
        <v>Perfect Match</v>
      </c>
    </row>
    <row r="513" spans="1:32">
      <c r="A513" t="str">
        <f>IF(OR(I513&lt;0, ISTEXT(W513), ISTEXT(Y513)), "Invalid", IF(OR(B513="Conflicting Duplicate", M513="Unknown", S513="Unknown"), "Warning", "Valid"))</f>
        <v>Valid</v>
      </c>
      <c r="B513" t="str">
        <f t="shared" si="57"/>
        <v>-</v>
      </c>
      <c r="C513" t="s">
        <v>269</v>
      </c>
      <c r="D513" s="2">
        <v>45807</v>
      </c>
      <c r="E513" t="str">
        <f t="shared" si="58"/>
        <v>May</v>
      </c>
      <c r="F513">
        <f t="shared" si="59"/>
        <v>2025</v>
      </c>
      <c r="G513" s="2">
        <v>45810</v>
      </c>
      <c r="H513" t="s">
        <v>270</v>
      </c>
      <c r="I513">
        <f t="shared" si="60"/>
        <v>3</v>
      </c>
      <c r="J513" t="s">
        <v>2795</v>
      </c>
      <c r="K513" t="s">
        <v>53</v>
      </c>
      <c r="L513" t="s">
        <v>90</v>
      </c>
      <c r="M513" t="s">
        <v>54</v>
      </c>
      <c r="N513" t="s">
        <v>247</v>
      </c>
      <c r="O513" t="s">
        <v>248</v>
      </c>
      <c r="P513" t="s">
        <v>28</v>
      </c>
      <c r="Q513" t="s">
        <v>91</v>
      </c>
      <c r="R513" t="s">
        <v>271</v>
      </c>
      <c r="S513" t="s">
        <v>44</v>
      </c>
      <c r="T513">
        <v>8</v>
      </c>
      <c r="U513">
        <v>474.37</v>
      </c>
      <c r="V513">
        <v>0.1</v>
      </c>
      <c r="W513">
        <v>0.1</v>
      </c>
      <c r="X513">
        <v>3415.46</v>
      </c>
      <c r="Y513">
        <f t="shared" si="56"/>
        <v>3415.46</v>
      </c>
      <c r="Z513">
        <v>1993.23</v>
      </c>
      <c r="AA513">
        <v>1422.23</v>
      </c>
      <c r="AB513">
        <f t="shared" si="61"/>
        <v>1422.23</v>
      </c>
      <c r="AC513" s="8">
        <f t="shared" si="62"/>
        <v>0.4164095026731392</v>
      </c>
      <c r="AD513" t="s">
        <v>155</v>
      </c>
      <c r="AE513" t="s">
        <v>68</v>
      </c>
      <c r="AF513" t="str">
        <f t="shared" si="63"/>
        <v>Perfect Match</v>
      </c>
    </row>
    <row r="514" spans="1:32">
      <c r="A514" t="str">
        <f>IF(OR(I514&lt;0, ISTEXT(W514), ISTEXT(Y514)), "Invalid", IF(OR(B514="Conflicting Duplicate", M514="Unknown", S514="Unknown"), "Warning", "Valid"))</f>
        <v>Valid</v>
      </c>
      <c r="B514" t="str">
        <f t="shared" si="57"/>
        <v>-</v>
      </c>
      <c r="C514" t="s">
        <v>272</v>
      </c>
      <c r="D514" s="2">
        <v>45664</v>
      </c>
      <c r="E514" t="str">
        <f t="shared" si="58"/>
        <v>January</v>
      </c>
      <c r="F514">
        <f t="shared" si="59"/>
        <v>2025</v>
      </c>
      <c r="G514" s="2">
        <v>45723</v>
      </c>
      <c r="H514" t="s">
        <v>273</v>
      </c>
      <c r="I514">
        <f t="shared" si="60"/>
        <v>59</v>
      </c>
      <c r="J514" t="s">
        <v>2795</v>
      </c>
      <c r="K514" t="s">
        <v>36</v>
      </c>
      <c r="L514" t="s">
        <v>37</v>
      </c>
      <c r="M514" t="s">
        <v>54</v>
      </c>
      <c r="N514" t="s">
        <v>84</v>
      </c>
      <c r="O514" t="s">
        <v>85</v>
      </c>
      <c r="P514" t="s">
        <v>74</v>
      </c>
      <c r="Q514" t="s">
        <v>274</v>
      </c>
      <c r="R514" t="s">
        <v>275</v>
      </c>
      <c r="S514" t="s">
        <v>44</v>
      </c>
      <c r="T514">
        <v>3</v>
      </c>
      <c r="U514">
        <v>1516.24</v>
      </c>
      <c r="V514">
        <v>0.25</v>
      </c>
      <c r="W514">
        <v>0.25</v>
      </c>
      <c r="X514">
        <v>3411.54</v>
      </c>
      <c r="Y514">
        <f t="shared" ref="Y514:Y577" si="64">IF(ISTEXT(W514), "Cannot Calculate", ROUND(T514 * U514 * (1 - W514), 2))</f>
        <v>3411.54</v>
      </c>
      <c r="Z514">
        <v>2803.13</v>
      </c>
      <c r="AA514">
        <v>608.41</v>
      </c>
      <c r="AB514">
        <f t="shared" si="61"/>
        <v>608.40999999999985</v>
      </c>
      <c r="AC514" s="8">
        <f t="shared" si="62"/>
        <v>0.17833881472883209</v>
      </c>
      <c r="AD514" t="s">
        <v>32</v>
      </c>
      <c r="AE514" t="s">
        <v>33</v>
      </c>
      <c r="AF514" t="str">
        <f t="shared" si="63"/>
        <v>Perfect Match</v>
      </c>
    </row>
    <row r="515" spans="1:32">
      <c r="A515" t="str">
        <f>IF(OR(I515&lt;0, ISTEXT(W515), ISTEXT(Y515)), "Invalid", IF(OR(B515="Conflicting Duplicate", M515="Unknown", S515="Unknown"), "Warning", "Valid"))</f>
        <v>Valid</v>
      </c>
      <c r="B515" t="str">
        <f t="shared" ref="B515:B578" si="65">IF(COUNTIF(C:C, C515)&gt;1, "Conflicting Duplicate", "-")</f>
        <v>-</v>
      </c>
      <c r="C515" t="s">
        <v>276</v>
      </c>
      <c r="D515" s="2">
        <v>45662</v>
      </c>
      <c r="E515" t="str">
        <f t="shared" ref="E515:E578" si="66">TEXT(D515, "mmmm")</f>
        <v>January</v>
      </c>
      <c r="F515">
        <f t="shared" ref="F515:F578" si="67">YEAR(D515)</f>
        <v>2025</v>
      </c>
      <c r="G515" s="2">
        <v>45809</v>
      </c>
      <c r="H515" t="s">
        <v>277</v>
      </c>
      <c r="I515">
        <f t="shared" ref="I515:I578" si="68">G515-D515</f>
        <v>147</v>
      </c>
      <c r="J515" t="s">
        <v>2795</v>
      </c>
      <c r="K515" t="s">
        <v>23</v>
      </c>
      <c r="L515" t="s">
        <v>24</v>
      </c>
      <c r="M515" t="s">
        <v>54</v>
      </c>
      <c r="N515" t="s">
        <v>175</v>
      </c>
      <c r="O515" t="s">
        <v>176</v>
      </c>
      <c r="P515" t="s">
        <v>28</v>
      </c>
      <c r="Q515" t="s">
        <v>153</v>
      </c>
      <c r="R515" t="s">
        <v>278</v>
      </c>
      <c r="S515" t="s">
        <v>31</v>
      </c>
      <c r="T515">
        <v>3</v>
      </c>
      <c r="U515">
        <v>3155.61</v>
      </c>
      <c r="V515">
        <v>0</v>
      </c>
      <c r="W515">
        <v>0</v>
      </c>
      <c r="X515">
        <v>9466.83</v>
      </c>
      <c r="Y515">
        <f t="shared" si="64"/>
        <v>9466.83</v>
      </c>
      <c r="Z515">
        <v>6557.83</v>
      </c>
      <c r="AA515">
        <v>2909</v>
      </c>
      <c r="AB515">
        <f t="shared" ref="AB515:AB578" si="69">IF(ISTEXT(Y515), "Cannot Calculate", Y515 - Z515)</f>
        <v>2909</v>
      </c>
      <c r="AC515" s="8">
        <f t="shared" ref="AC515:AC578" si="70">IFERROR(AB515 / Y515, 0)</f>
        <v>0.30728343067320318</v>
      </c>
      <c r="AD515" t="s">
        <v>102</v>
      </c>
      <c r="AE515" t="s">
        <v>68</v>
      </c>
      <c r="AF515" t="str">
        <f t="shared" ref="AF515:AF578" si="71">IF(OR(ISTEXT(Z515), ISTEXT(AB515)), "Calculation Blocked", IF(OR(ROUND(X515, 2) &lt;&gt; ROUND(Y515, 2), ROUND(AA515, 2) &lt;&gt; ROUND(AB515, 2)), "Mismatch Found", "Perfect Match"))</f>
        <v>Perfect Match</v>
      </c>
    </row>
    <row r="516" spans="1:32">
      <c r="A516" t="str">
        <f>IF(OR(I516&lt;0, ISTEXT(W516), ISTEXT(Y516)), "Invalid", IF(OR(B516="Conflicting Duplicate", M516="Unknown", S516="Unknown"), "Warning", "Valid"))</f>
        <v>Valid</v>
      </c>
      <c r="B516" t="str">
        <f t="shared" si="65"/>
        <v>-</v>
      </c>
      <c r="C516" t="s">
        <v>306</v>
      </c>
      <c r="D516" s="2">
        <v>45897</v>
      </c>
      <c r="E516" t="str">
        <f t="shared" si="66"/>
        <v>August</v>
      </c>
      <c r="F516">
        <f t="shared" si="67"/>
        <v>2025</v>
      </c>
      <c r="G516" s="2">
        <v>45901</v>
      </c>
      <c r="H516" t="s">
        <v>307</v>
      </c>
      <c r="I516">
        <f t="shared" si="68"/>
        <v>4</v>
      </c>
      <c r="J516" t="s">
        <v>2795</v>
      </c>
      <c r="K516" t="s">
        <v>23</v>
      </c>
      <c r="L516" t="s">
        <v>37</v>
      </c>
      <c r="M516" t="s">
        <v>54</v>
      </c>
      <c r="N516" t="s">
        <v>247</v>
      </c>
      <c r="O516" t="s">
        <v>248</v>
      </c>
      <c r="P516" t="s">
        <v>74</v>
      </c>
      <c r="Q516" t="s">
        <v>75</v>
      </c>
      <c r="R516" t="s">
        <v>308</v>
      </c>
      <c r="S516" t="s">
        <v>44</v>
      </c>
      <c r="T516">
        <v>7</v>
      </c>
      <c r="U516">
        <v>1057.46</v>
      </c>
      <c r="V516">
        <v>0.05</v>
      </c>
      <c r="W516">
        <v>0.05</v>
      </c>
      <c r="X516">
        <v>7032.11</v>
      </c>
      <c r="Y516">
        <f t="shared" si="64"/>
        <v>7032.11</v>
      </c>
      <c r="Z516">
        <v>4610.34</v>
      </c>
      <c r="AA516">
        <v>2421.77</v>
      </c>
      <c r="AB516">
        <f t="shared" si="69"/>
        <v>2421.7699999999995</v>
      </c>
      <c r="AC516" s="8">
        <f t="shared" si="70"/>
        <v>0.34438738870694569</v>
      </c>
      <c r="AD516" t="s">
        <v>32</v>
      </c>
      <c r="AE516" t="s">
        <v>33</v>
      </c>
      <c r="AF516" t="str">
        <f t="shared" si="71"/>
        <v>Perfect Match</v>
      </c>
    </row>
    <row r="517" spans="1:32">
      <c r="A517" t="str">
        <f>IF(OR(I517&lt;0, ISTEXT(W517), ISTEXT(Y517)), "Invalid", IF(OR(B517="Conflicting Duplicate", M517="Unknown", S517="Unknown"), "Warning", "Valid"))</f>
        <v>Valid</v>
      </c>
      <c r="B517" t="str">
        <f t="shared" si="65"/>
        <v>-</v>
      </c>
      <c r="C517" t="s">
        <v>309</v>
      </c>
      <c r="D517" s="2">
        <v>45691</v>
      </c>
      <c r="E517" t="str">
        <f t="shared" si="66"/>
        <v>February</v>
      </c>
      <c r="F517">
        <f t="shared" si="67"/>
        <v>2025</v>
      </c>
      <c r="G517" s="2">
        <v>45840</v>
      </c>
      <c r="H517" t="s">
        <v>310</v>
      </c>
      <c r="I517">
        <f t="shared" si="68"/>
        <v>149</v>
      </c>
      <c r="J517" t="s">
        <v>2795</v>
      </c>
      <c r="K517" t="s">
        <v>264</v>
      </c>
      <c r="L517" t="s">
        <v>24</v>
      </c>
      <c r="M517" t="s">
        <v>25</v>
      </c>
      <c r="N517" t="s">
        <v>236</v>
      </c>
      <c r="O517" t="s">
        <v>237</v>
      </c>
      <c r="P517" t="s">
        <v>28</v>
      </c>
      <c r="Q517" t="s">
        <v>29</v>
      </c>
      <c r="R517" t="s">
        <v>311</v>
      </c>
      <c r="S517" t="s">
        <v>50</v>
      </c>
      <c r="T517">
        <v>7</v>
      </c>
      <c r="U517">
        <v>3609.34</v>
      </c>
      <c r="V517">
        <v>0.05</v>
      </c>
      <c r="W517">
        <v>0.05</v>
      </c>
      <c r="X517">
        <v>24002.11</v>
      </c>
      <c r="Y517">
        <f t="shared" si="64"/>
        <v>24002.11</v>
      </c>
      <c r="Z517">
        <v>18707.57</v>
      </c>
      <c r="AA517">
        <v>5294.54</v>
      </c>
      <c r="AB517">
        <f t="shared" si="69"/>
        <v>5294.5400000000009</v>
      </c>
      <c r="AC517" s="8">
        <f t="shared" si="70"/>
        <v>0.22058644010880712</v>
      </c>
      <c r="AD517" t="s">
        <v>32</v>
      </c>
      <c r="AE517" t="s">
        <v>33</v>
      </c>
      <c r="AF517" t="str">
        <f t="shared" si="71"/>
        <v>Perfect Match</v>
      </c>
    </row>
    <row r="518" spans="1:32">
      <c r="A518" t="str">
        <f>IF(OR(I518&lt;0, ISTEXT(W518), ISTEXT(Y518)), "Invalid", IF(OR(B518="Conflicting Duplicate", M518="Unknown", S518="Unknown"), "Warning", "Valid"))</f>
        <v>Valid</v>
      </c>
      <c r="B518" t="str">
        <f t="shared" si="65"/>
        <v>-</v>
      </c>
      <c r="C518" t="s">
        <v>318</v>
      </c>
      <c r="D518" s="2">
        <v>45891</v>
      </c>
      <c r="E518" t="str">
        <f t="shared" si="66"/>
        <v>August</v>
      </c>
      <c r="F518">
        <f t="shared" si="67"/>
        <v>2025</v>
      </c>
      <c r="G518" s="2">
        <v>45896</v>
      </c>
      <c r="H518" t="s">
        <v>319</v>
      </c>
      <c r="I518">
        <f t="shared" si="68"/>
        <v>5</v>
      </c>
      <c r="J518" t="s">
        <v>2795</v>
      </c>
      <c r="K518" t="s">
        <v>23</v>
      </c>
      <c r="L518" t="s">
        <v>90</v>
      </c>
      <c r="M518" t="s">
        <v>54</v>
      </c>
      <c r="N518" t="s">
        <v>84</v>
      </c>
      <c r="O518" t="s">
        <v>85</v>
      </c>
      <c r="P518" t="s">
        <v>74</v>
      </c>
      <c r="Q518" t="s">
        <v>171</v>
      </c>
      <c r="R518" t="s">
        <v>320</v>
      </c>
      <c r="S518" t="s">
        <v>50</v>
      </c>
      <c r="T518">
        <v>2</v>
      </c>
      <c r="U518">
        <v>905.87</v>
      </c>
      <c r="V518">
        <v>0.15</v>
      </c>
      <c r="W518">
        <v>0.15</v>
      </c>
      <c r="X518">
        <v>1539.98</v>
      </c>
      <c r="Y518">
        <f t="shared" si="64"/>
        <v>1539.98</v>
      </c>
      <c r="Z518">
        <v>1070.2</v>
      </c>
      <c r="AA518">
        <v>469.78</v>
      </c>
      <c r="AB518">
        <f t="shared" si="69"/>
        <v>469.78</v>
      </c>
      <c r="AC518" s="8">
        <f t="shared" si="70"/>
        <v>0.30505590981701058</v>
      </c>
      <c r="AD518" t="s">
        <v>32</v>
      </c>
      <c r="AE518" t="s">
        <v>33</v>
      </c>
      <c r="AF518" t="str">
        <f t="shared" si="71"/>
        <v>Perfect Match</v>
      </c>
    </row>
    <row r="519" spans="1:32">
      <c r="A519" t="str">
        <f>IF(OR(I519&lt;0, ISTEXT(W519), ISTEXT(Y519)), "Invalid", IF(OR(B519="Conflicting Duplicate", M519="Unknown", S519="Unknown"), "Warning", "Valid"))</f>
        <v>Valid</v>
      </c>
      <c r="B519" t="str">
        <f t="shared" si="65"/>
        <v>-</v>
      </c>
      <c r="C519" t="s">
        <v>321</v>
      </c>
      <c r="D519" s="2">
        <v>45763</v>
      </c>
      <c r="E519" t="str">
        <f t="shared" si="66"/>
        <v>April</v>
      </c>
      <c r="F519">
        <f t="shared" si="67"/>
        <v>2025</v>
      </c>
      <c r="G519" s="2">
        <v>45770</v>
      </c>
      <c r="H519" t="s">
        <v>322</v>
      </c>
      <c r="I519">
        <f t="shared" si="68"/>
        <v>7</v>
      </c>
      <c r="J519" t="s">
        <v>2795</v>
      </c>
      <c r="K519" t="s">
        <v>36</v>
      </c>
      <c r="L519" t="s">
        <v>37</v>
      </c>
      <c r="M519" t="s">
        <v>63</v>
      </c>
      <c r="N519" t="s">
        <v>190</v>
      </c>
      <c r="O519" t="s">
        <v>191</v>
      </c>
      <c r="P519" t="s">
        <v>74</v>
      </c>
      <c r="Q519" t="s">
        <v>274</v>
      </c>
      <c r="R519" t="s">
        <v>323</v>
      </c>
      <c r="S519" t="s">
        <v>59</v>
      </c>
      <c r="T519">
        <v>6</v>
      </c>
      <c r="U519">
        <v>2027.32</v>
      </c>
      <c r="V519">
        <v>0.1</v>
      </c>
      <c r="W519">
        <v>0.1</v>
      </c>
      <c r="X519">
        <v>10947.53</v>
      </c>
      <c r="Y519">
        <f t="shared" si="64"/>
        <v>10947.53</v>
      </c>
      <c r="Z519">
        <v>6447.36</v>
      </c>
      <c r="AA519">
        <v>4500.17</v>
      </c>
      <c r="AB519">
        <f t="shared" si="69"/>
        <v>4500.170000000001</v>
      </c>
      <c r="AC519" s="8">
        <f t="shared" si="70"/>
        <v>0.41106715396075649</v>
      </c>
      <c r="AD519" t="s">
        <v>32</v>
      </c>
      <c r="AE519" t="s">
        <v>33</v>
      </c>
      <c r="AF519" t="str">
        <f t="shared" si="71"/>
        <v>Perfect Match</v>
      </c>
    </row>
    <row r="520" spans="1:32">
      <c r="A520" t="str">
        <f>IF(OR(I520&lt;0, ISTEXT(W520), ISTEXT(Y520)), "Invalid", IF(OR(B520="Conflicting Duplicate", M520="Unknown", S520="Unknown"), "Warning", "Valid"))</f>
        <v>Valid</v>
      </c>
      <c r="B520" t="str">
        <f t="shared" si="65"/>
        <v>-</v>
      </c>
      <c r="C520" t="s">
        <v>327</v>
      </c>
      <c r="D520" s="2">
        <v>45745</v>
      </c>
      <c r="E520" t="str">
        <f t="shared" si="66"/>
        <v>March</v>
      </c>
      <c r="F520">
        <f t="shared" si="67"/>
        <v>2025</v>
      </c>
      <c r="G520" s="2">
        <v>45750</v>
      </c>
      <c r="H520" t="s">
        <v>328</v>
      </c>
      <c r="I520">
        <f t="shared" si="68"/>
        <v>5</v>
      </c>
      <c r="J520" t="s">
        <v>2795</v>
      </c>
      <c r="K520" t="s">
        <v>132</v>
      </c>
      <c r="L520" t="s">
        <v>90</v>
      </c>
      <c r="M520" t="s">
        <v>38</v>
      </c>
      <c r="N520" t="s">
        <v>99</v>
      </c>
      <c r="O520" t="s">
        <v>100</v>
      </c>
      <c r="P520" t="s">
        <v>41</v>
      </c>
      <c r="Q520" t="s">
        <v>158</v>
      </c>
      <c r="R520" t="s">
        <v>329</v>
      </c>
      <c r="S520" t="s">
        <v>50</v>
      </c>
      <c r="T520">
        <v>5</v>
      </c>
      <c r="U520">
        <v>1425.74</v>
      </c>
      <c r="V520">
        <v>0</v>
      </c>
      <c r="W520">
        <v>0</v>
      </c>
      <c r="X520">
        <v>7128.7</v>
      </c>
      <c r="Y520">
        <f t="shared" si="64"/>
        <v>7128.7</v>
      </c>
      <c r="Z520">
        <v>4382.1499999999996</v>
      </c>
      <c r="AA520">
        <v>2746.55</v>
      </c>
      <c r="AB520">
        <f t="shared" si="69"/>
        <v>2746.55</v>
      </c>
      <c r="AC520" s="8">
        <f t="shared" si="70"/>
        <v>0.38528062620113068</v>
      </c>
      <c r="AD520" t="s">
        <v>32</v>
      </c>
      <c r="AE520" t="s">
        <v>33</v>
      </c>
      <c r="AF520" t="str">
        <f t="shared" si="71"/>
        <v>Perfect Match</v>
      </c>
    </row>
    <row r="521" spans="1:32">
      <c r="A521" t="str">
        <f>IF(OR(I521&lt;0, ISTEXT(W521), ISTEXT(Y521)), "Invalid", IF(OR(B521="Conflicting Duplicate", M521="Unknown", S521="Unknown"), "Warning", "Valid"))</f>
        <v>Valid</v>
      </c>
      <c r="B521" t="str">
        <f t="shared" si="65"/>
        <v>-</v>
      </c>
      <c r="C521" t="s">
        <v>330</v>
      </c>
      <c r="D521" s="2">
        <v>45715</v>
      </c>
      <c r="E521" t="str">
        <f t="shared" si="66"/>
        <v>February</v>
      </c>
      <c r="F521">
        <f t="shared" si="67"/>
        <v>2025</v>
      </c>
      <c r="G521" s="2">
        <v>45717</v>
      </c>
      <c r="H521" t="s">
        <v>331</v>
      </c>
      <c r="I521">
        <f t="shared" si="68"/>
        <v>2</v>
      </c>
      <c r="J521" t="s">
        <v>2795</v>
      </c>
      <c r="K521" t="s">
        <v>71</v>
      </c>
      <c r="L521" t="s">
        <v>37</v>
      </c>
      <c r="M521" t="s">
        <v>38</v>
      </c>
      <c r="N521" t="s">
        <v>99</v>
      </c>
      <c r="O521" t="s">
        <v>100</v>
      </c>
      <c r="P521" t="s">
        <v>41</v>
      </c>
      <c r="Q521" t="s">
        <v>66</v>
      </c>
      <c r="R521" t="s">
        <v>332</v>
      </c>
      <c r="S521" t="s">
        <v>59</v>
      </c>
      <c r="T521">
        <v>6</v>
      </c>
      <c r="U521">
        <v>551.64</v>
      </c>
      <c r="V521">
        <v>0</v>
      </c>
      <c r="W521">
        <v>0</v>
      </c>
      <c r="X521">
        <v>3309.84</v>
      </c>
      <c r="Y521">
        <f t="shared" si="64"/>
        <v>3309.84</v>
      </c>
      <c r="Z521">
        <v>2671.08</v>
      </c>
      <c r="AA521">
        <v>638.76</v>
      </c>
      <c r="AB521">
        <f t="shared" si="69"/>
        <v>638.76000000000022</v>
      </c>
      <c r="AC521" s="8">
        <f t="shared" si="70"/>
        <v>0.19298818069755644</v>
      </c>
      <c r="AD521" t="s">
        <v>32</v>
      </c>
      <c r="AE521" t="s">
        <v>33</v>
      </c>
      <c r="AF521" t="str">
        <f t="shared" si="71"/>
        <v>Perfect Match</v>
      </c>
    </row>
    <row r="522" spans="1:32">
      <c r="A522" t="str">
        <f>IF(OR(I522&lt;0, ISTEXT(W522), ISTEXT(Y522)), "Invalid", IF(OR(B522="Conflicting Duplicate", M522="Unknown", S522="Unknown"), "Warning", "Valid"))</f>
        <v>Valid</v>
      </c>
      <c r="B522" t="str">
        <f t="shared" si="65"/>
        <v>-</v>
      </c>
      <c r="C522" t="s">
        <v>333</v>
      </c>
      <c r="D522" s="2">
        <v>45891</v>
      </c>
      <c r="E522" t="str">
        <f t="shared" si="66"/>
        <v>August</v>
      </c>
      <c r="F522">
        <f t="shared" si="67"/>
        <v>2025</v>
      </c>
      <c r="G522" s="2">
        <v>45896</v>
      </c>
      <c r="H522" t="s">
        <v>334</v>
      </c>
      <c r="I522">
        <f t="shared" si="68"/>
        <v>5</v>
      </c>
      <c r="J522" t="s">
        <v>2795</v>
      </c>
      <c r="K522" t="s">
        <v>114</v>
      </c>
      <c r="L522" t="s">
        <v>37</v>
      </c>
      <c r="M522" t="s">
        <v>38</v>
      </c>
      <c r="N522" t="s">
        <v>39</v>
      </c>
      <c r="O522" t="s">
        <v>40</v>
      </c>
      <c r="P522" t="s">
        <v>28</v>
      </c>
      <c r="Q522" t="s">
        <v>91</v>
      </c>
      <c r="R522" t="s">
        <v>335</v>
      </c>
      <c r="S522" t="s">
        <v>50</v>
      </c>
      <c r="T522">
        <v>3</v>
      </c>
      <c r="U522">
        <v>3294.82</v>
      </c>
      <c r="V522">
        <v>0.2</v>
      </c>
      <c r="W522">
        <v>0.2</v>
      </c>
      <c r="X522">
        <v>7907.57</v>
      </c>
      <c r="Y522">
        <f t="shared" si="64"/>
        <v>7907.57</v>
      </c>
      <c r="Z522">
        <v>5391.18</v>
      </c>
      <c r="AA522">
        <v>2516.39</v>
      </c>
      <c r="AB522">
        <f t="shared" si="69"/>
        <v>2516.3899999999994</v>
      </c>
      <c r="AC522" s="8">
        <f t="shared" si="70"/>
        <v>0.31822544726129515</v>
      </c>
      <c r="AD522" t="s">
        <v>32</v>
      </c>
      <c r="AE522" t="s">
        <v>33</v>
      </c>
      <c r="AF522" t="str">
        <f t="shared" si="71"/>
        <v>Perfect Match</v>
      </c>
    </row>
    <row r="523" spans="1:32">
      <c r="A523" t="str">
        <f>IF(OR(I523&lt;0, ISTEXT(W523), ISTEXT(Y523)), "Invalid", IF(OR(B523="Conflicting Duplicate", M523="Unknown", S523="Unknown"), "Warning", "Valid"))</f>
        <v>Valid</v>
      </c>
      <c r="B523" t="str">
        <f t="shared" si="65"/>
        <v>-</v>
      </c>
      <c r="C523" t="s">
        <v>339</v>
      </c>
      <c r="D523" s="2">
        <v>45846</v>
      </c>
      <c r="E523" t="str">
        <f t="shared" si="66"/>
        <v>July</v>
      </c>
      <c r="F523">
        <f t="shared" si="67"/>
        <v>2025</v>
      </c>
      <c r="G523" s="2">
        <v>45998</v>
      </c>
      <c r="H523" t="s">
        <v>340</v>
      </c>
      <c r="I523">
        <f t="shared" si="68"/>
        <v>152</v>
      </c>
      <c r="J523" t="s">
        <v>2795</v>
      </c>
      <c r="K523" t="s">
        <v>141</v>
      </c>
      <c r="L523" t="s">
        <v>95</v>
      </c>
      <c r="M523" t="s">
        <v>25</v>
      </c>
      <c r="N523" t="s">
        <v>136</v>
      </c>
      <c r="O523" t="s">
        <v>137</v>
      </c>
      <c r="P523" t="s">
        <v>41</v>
      </c>
      <c r="Q523" t="s">
        <v>57</v>
      </c>
      <c r="R523" t="s">
        <v>341</v>
      </c>
      <c r="S523" t="s">
        <v>59</v>
      </c>
      <c r="T523">
        <v>1</v>
      </c>
      <c r="U523">
        <v>2582.1999999999998</v>
      </c>
      <c r="V523">
        <v>0.15</v>
      </c>
      <c r="W523">
        <v>0.15</v>
      </c>
      <c r="X523">
        <v>2194.87</v>
      </c>
      <c r="Y523">
        <f t="shared" si="64"/>
        <v>2194.87</v>
      </c>
      <c r="Z523">
        <v>1223.17</v>
      </c>
      <c r="AA523">
        <v>971.7</v>
      </c>
      <c r="AB523">
        <f t="shared" si="69"/>
        <v>971.69999999999982</v>
      </c>
      <c r="AC523" s="8">
        <f t="shared" si="70"/>
        <v>0.44271414707932583</v>
      </c>
      <c r="AD523" t="s">
        <v>102</v>
      </c>
      <c r="AE523" t="s">
        <v>68</v>
      </c>
      <c r="AF523" t="str">
        <f t="shared" si="71"/>
        <v>Perfect Match</v>
      </c>
    </row>
    <row r="524" spans="1:32">
      <c r="A524" t="str">
        <f>IF(OR(I524&lt;0, ISTEXT(W524), ISTEXT(Y524)), "Invalid", IF(OR(B524="Conflicting Duplicate", M524="Unknown", S524="Unknown"), "Warning", "Valid"))</f>
        <v>Valid</v>
      </c>
      <c r="B524" t="str">
        <f t="shared" si="65"/>
        <v>-</v>
      </c>
      <c r="C524" t="s">
        <v>342</v>
      </c>
      <c r="D524" s="2">
        <v>45854</v>
      </c>
      <c r="E524" t="str">
        <f t="shared" si="66"/>
        <v>July</v>
      </c>
      <c r="F524">
        <f t="shared" si="67"/>
        <v>2025</v>
      </c>
      <c r="G524" s="2">
        <v>45859</v>
      </c>
      <c r="H524" t="s">
        <v>343</v>
      </c>
      <c r="I524">
        <f t="shared" si="68"/>
        <v>5</v>
      </c>
      <c r="J524" t="s">
        <v>2795</v>
      </c>
      <c r="K524" t="s">
        <v>132</v>
      </c>
      <c r="L524" t="s">
        <v>90</v>
      </c>
      <c r="M524" t="s">
        <v>38</v>
      </c>
      <c r="N524" t="s">
        <v>99</v>
      </c>
      <c r="O524" t="s">
        <v>100</v>
      </c>
      <c r="P524" t="s">
        <v>41</v>
      </c>
      <c r="Q524" t="s">
        <v>42</v>
      </c>
      <c r="R524" t="s">
        <v>344</v>
      </c>
      <c r="S524" t="s">
        <v>50</v>
      </c>
      <c r="T524">
        <v>5</v>
      </c>
      <c r="U524">
        <v>2129.5100000000002</v>
      </c>
      <c r="V524">
        <v>0.15</v>
      </c>
      <c r="W524">
        <v>0.15</v>
      </c>
      <c r="X524">
        <v>9050.42</v>
      </c>
      <c r="Y524">
        <f t="shared" si="64"/>
        <v>9050.42</v>
      </c>
      <c r="Z524">
        <v>6778.85</v>
      </c>
      <c r="AA524">
        <v>2271.5700000000002</v>
      </c>
      <c r="AB524">
        <f t="shared" si="69"/>
        <v>2271.5699999999997</v>
      </c>
      <c r="AC524" s="8">
        <f t="shared" si="70"/>
        <v>0.25099056176398438</v>
      </c>
      <c r="AD524" t="s">
        <v>32</v>
      </c>
      <c r="AE524" t="s">
        <v>33</v>
      </c>
      <c r="AF524" t="str">
        <f t="shared" si="71"/>
        <v>Perfect Match</v>
      </c>
    </row>
    <row r="525" spans="1:32">
      <c r="A525" t="str">
        <f>IF(OR(I525&lt;0, ISTEXT(W525), ISTEXT(Y525)), "Invalid", IF(OR(B525="Conflicting Duplicate", M525="Unknown", S525="Unknown"), "Warning", "Valid"))</f>
        <v>Valid</v>
      </c>
      <c r="B525" t="str">
        <f t="shared" si="65"/>
        <v>-</v>
      </c>
      <c r="C525" t="s">
        <v>345</v>
      </c>
      <c r="D525" s="2">
        <v>45927</v>
      </c>
      <c r="E525" t="str">
        <f t="shared" si="66"/>
        <v>September</v>
      </c>
      <c r="F525">
        <f t="shared" si="67"/>
        <v>2025</v>
      </c>
      <c r="G525" s="2">
        <v>45933</v>
      </c>
      <c r="H525" t="s">
        <v>346</v>
      </c>
      <c r="I525">
        <f t="shared" si="68"/>
        <v>6</v>
      </c>
      <c r="J525" t="s">
        <v>2795</v>
      </c>
      <c r="K525" t="s">
        <v>162</v>
      </c>
      <c r="L525" t="s">
        <v>95</v>
      </c>
      <c r="M525" t="s">
        <v>54</v>
      </c>
      <c r="N525" t="s">
        <v>247</v>
      </c>
      <c r="O525" t="s">
        <v>248</v>
      </c>
      <c r="P525" t="s">
        <v>41</v>
      </c>
      <c r="Q525" t="s">
        <v>66</v>
      </c>
      <c r="R525" t="s">
        <v>347</v>
      </c>
      <c r="S525" t="s">
        <v>44</v>
      </c>
      <c r="T525">
        <v>9</v>
      </c>
      <c r="U525">
        <v>4131.5200000000004</v>
      </c>
      <c r="V525">
        <v>0.1</v>
      </c>
      <c r="W525">
        <v>0.1</v>
      </c>
      <c r="X525">
        <v>33465.31</v>
      </c>
      <c r="Y525">
        <f t="shared" si="64"/>
        <v>33465.31</v>
      </c>
      <c r="Z525">
        <v>24781.26</v>
      </c>
      <c r="AA525">
        <v>8684.0499999999993</v>
      </c>
      <c r="AB525">
        <f t="shared" si="69"/>
        <v>8684.0499999999993</v>
      </c>
      <c r="AC525" s="8">
        <f t="shared" si="70"/>
        <v>0.25949408506898636</v>
      </c>
      <c r="AD525" t="s">
        <v>32</v>
      </c>
      <c r="AE525" t="s">
        <v>33</v>
      </c>
      <c r="AF525" t="str">
        <f t="shared" si="71"/>
        <v>Perfect Match</v>
      </c>
    </row>
    <row r="526" spans="1:32">
      <c r="A526" t="str">
        <f>IF(OR(I526&lt;0, ISTEXT(W526), ISTEXT(Y526)), "Invalid", IF(OR(B526="Conflicting Duplicate", M526="Unknown", S526="Unknown"), "Warning", "Valid"))</f>
        <v>Valid</v>
      </c>
      <c r="B526" t="str">
        <f t="shared" si="65"/>
        <v>-</v>
      </c>
      <c r="C526" t="s">
        <v>353</v>
      </c>
      <c r="D526" s="2">
        <v>45732</v>
      </c>
      <c r="E526" t="str">
        <f t="shared" si="66"/>
        <v>March</v>
      </c>
      <c r="F526">
        <f t="shared" si="67"/>
        <v>2025</v>
      </c>
      <c r="G526" s="2">
        <v>45733</v>
      </c>
      <c r="H526" t="s">
        <v>354</v>
      </c>
      <c r="I526">
        <f t="shared" si="68"/>
        <v>1</v>
      </c>
      <c r="J526" t="s">
        <v>2795</v>
      </c>
      <c r="K526" t="s">
        <v>23</v>
      </c>
      <c r="L526" t="s">
        <v>95</v>
      </c>
      <c r="M526" t="s">
        <v>63</v>
      </c>
      <c r="N526" t="s">
        <v>190</v>
      </c>
      <c r="O526" t="s">
        <v>191</v>
      </c>
      <c r="P526" t="s">
        <v>28</v>
      </c>
      <c r="Q526" t="s">
        <v>91</v>
      </c>
      <c r="R526" t="s">
        <v>355</v>
      </c>
      <c r="S526" t="s">
        <v>44</v>
      </c>
      <c r="T526">
        <v>3</v>
      </c>
      <c r="U526">
        <v>1841.91</v>
      </c>
      <c r="V526">
        <v>0</v>
      </c>
      <c r="W526">
        <v>0</v>
      </c>
      <c r="X526">
        <v>5525.73</v>
      </c>
      <c r="Y526">
        <f t="shared" si="64"/>
        <v>5525.73</v>
      </c>
      <c r="Z526">
        <v>3093.42</v>
      </c>
      <c r="AA526">
        <v>2432.31</v>
      </c>
      <c r="AB526">
        <f t="shared" si="69"/>
        <v>2432.3099999999995</v>
      </c>
      <c r="AC526" s="8">
        <f t="shared" si="70"/>
        <v>0.44017894468242197</v>
      </c>
      <c r="AD526" t="s">
        <v>32</v>
      </c>
      <c r="AE526" t="s">
        <v>33</v>
      </c>
      <c r="AF526" t="str">
        <f t="shared" si="71"/>
        <v>Perfect Match</v>
      </c>
    </row>
    <row r="527" spans="1:32">
      <c r="A527" s="6" t="str">
        <f>IF(OR(I527&lt;0, ISTEXT(W527), ISTEXT(Y527)), "Invalid", IF(OR(B527="Conflicting Duplicate", M527="Unknown", S527="Unknown"), "Warning", "Valid"))</f>
        <v>Warning</v>
      </c>
      <c r="B527" t="str">
        <f t="shared" si="65"/>
        <v>Conflicting Duplicate</v>
      </c>
      <c r="C527" t="s">
        <v>380</v>
      </c>
      <c r="D527" s="2">
        <v>45893</v>
      </c>
      <c r="E527" t="str">
        <f t="shared" si="66"/>
        <v>August</v>
      </c>
      <c r="F527">
        <f t="shared" si="67"/>
        <v>2025</v>
      </c>
      <c r="G527" s="2">
        <v>45898</v>
      </c>
      <c r="H527" t="s">
        <v>381</v>
      </c>
      <c r="I527">
        <f t="shared" si="68"/>
        <v>5</v>
      </c>
      <c r="J527" t="s">
        <v>2795</v>
      </c>
      <c r="K527" t="s">
        <v>128</v>
      </c>
      <c r="L527" t="s">
        <v>37</v>
      </c>
      <c r="M527" t="s">
        <v>38</v>
      </c>
      <c r="N527" t="s">
        <v>145</v>
      </c>
      <c r="O527" t="s">
        <v>146</v>
      </c>
      <c r="P527" t="s">
        <v>74</v>
      </c>
      <c r="Q527" t="s">
        <v>80</v>
      </c>
      <c r="R527" t="s">
        <v>382</v>
      </c>
      <c r="S527" t="s">
        <v>50</v>
      </c>
      <c r="T527">
        <v>3</v>
      </c>
      <c r="U527">
        <v>3703.96</v>
      </c>
      <c r="V527">
        <v>0.15</v>
      </c>
      <c r="W527">
        <v>0.15</v>
      </c>
      <c r="X527">
        <v>9445.1</v>
      </c>
      <c r="Y527">
        <f t="shared" si="64"/>
        <v>9445.1</v>
      </c>
      <c r="Z527">
        <v>5586.28</v>
      </c>
      <c r="AA527">
        <v>3858.82</v>
      </c>
      <c r="AB527">
        <f t="shared" si="69"/>
        <v>3858.8200000000006</v>
      </c>
      <c r="AC527" s="8">
        <f t="shared" si="70"/>
        <v>0.40855258282072193</v>
      </c>
      <c r="AD527" t="s">
        <v>32</v>
      </c>
      <c r="AE527" t="s">
        <v>33</v>
      </c>
      <c r="AF527" t="str">
        <f t="shared" si="71"/>
        <v>Perfect Match</v>
      </c>
    </row>
    <row r="528" spans="1:32">
      <c r="A528" s="6" t="str">
        <f>IF(OR(I528&lt;0, ISTEXT(W528), ISTEXT(Y528)), "Invalid", IF(OR(B528="Conflicting Duplicate", M528="Unknown", S528="Unknown"), "Warning", "Valid"))</f>
        <v>Warning</v>
      </c>
      <c r="B528" t="str">
        <f t="shared" si="65"/>
        <v>Conflicting Duplicate</v>
      </c>
      <c r="C528" t="s">
        <v>380</v>
      </c>
      <c r="D528" s="2">
        <v>45893</v>
      </c>
      <c r="E528" t="str">
        <f t="shared" si="66"/>
        <v>August</v>
      </c>
      <c r="F528">
        <f t="shared" si="67"/>
        <v>2025</v>
      </c>
      <c r="G528" s="2">
        <v>45898</v>
      </c>
      <c r="H528" t="s">
        <v>381</v>
      </c>
      <c r="I528">
        <f t="shared" si="68"/>
        <v>5</v>
      </c>
      <c r="J528" t="s">
        <v>2795</v>
      </c>
      <c r="K528" t="s">
        <v>128</v>
      </c>
      <c r="L528" t="s">
        <v>37</v>
      </c>
      <c r="M528" t="s">
        <v>38</v>
      </c>
      <c r="N528" t="s">
        <v>145</v>
      </c>
      <c r="O528" t="s">
        <v>146</v>
      </c>
      <c r="P528" t="s">
        <v>74</v>
      </c>
      <c r="Q528" t="s">
        <v>80</v>
      </c>
      <c r="R528" t="s">
        <v>382</v>
      </c>
      <c r="S528" t="s">
        <v>50</v>
      </c>
      <c r="T528">
        <v>3</v>
      </c>
      <c r="U528">
        <v>3703.96</v>
      </c>
      <c r="V528">
        <v>0.15</v>
      </c>
      <c r="W528">
        <v>0.15</v>
      </c>
      <c r="X528">
        <v>9549.44</v>
      </c>
      <c r="Y528">
        <f t="shared" si="64"/>
        <v>9445.1</v>
      </c>
      <c r="Z528">
        <v>5586.28</v>
      </c>
      <c r="AA528">
        <v>3858.82</v>
      </c>
      <c r="AB528">
        <f t="shared" si="69"/>
        <v>3858.8200000000006</v>
      </c>
      <c r="AC528" s="8">
        <f t="shared" si="70"/>
        <v>0.40855258282072193</v>
      </c>
      <c r="AD528" t="s">
        <v>32</v>
      </c>
      <c r="AE528" t="s">
        <v>103</v>
      </c>
      <c r="AF528" t="str">
        <f t="shared" si="71"/>
        <v>Mismatch Found</v>
      </c>
    </row>
    <row r="529" spans="1:32">
      <c r="A529" t="str">
        <f>IF(OR(I529&lt;0, ISTEXT(W529), ISTEXT(Y529)), "Invalid", IF(OR(B529="Conflicting Duplicate", M529="Unknown", S529="Unknown"), "Warning", "Valid"))</f>
        <v>Valid</v>
      </c>
      <c r="B529" t="str">
        <f t="shared" si="65"/>
        <v>-</v>
      </c>
      <c r="C529" t="s">
        <v>383</v>
      </c>
      <c r="D529" s="2">
        <v>45691</v>
      </c>
      <c r="E529" t="str">
        <f t="shared" si="66"/>
        <v>February</v>
      </c>
      <c r="F529">
        <f t="shared" si="67"/>
        <v>2025</v>
      </c>
      <c r="G529" s="2">
        <v>45724</v>
      </c>
      <c r="H529" t="s">
        <v>384</v>
      </c>
      <c r="I529">
        <f t="shared" si="68"/>
        <v>33</v>
      </c>
      <c r="J529" t="s">
        <v>2795</v>
      </c>
      <c r="K529" t="s">
        <v>132</v>
      </c>
      <c r="L529" t="s">
        <v>90</v>
      </c>
      <c r="M529" t="s">
        <v>63</v>
      </c>
      <c r="N529" t="s">
        <v>72</v>
      </c>
      <c r="O529" t="s">
        <v>73</v>
      </c>
      <c r="P529" t="s">
        <v>74</v>
      </c>
      <c r="Q529" t="s">
        <v>80</v>
      </c>
      <c r="R529" t="s">
        <v>385</v>
      </c>
      <c r="S529" t="s">
        <v>31</v>
      </c>
      <c r="T529">
        <v>9</v>
      </c>
      <c r="U529">
        <v>269.68</v>
      </c>
      <c r="V529">
        <v>0</v>
      </c>
      <c r="W529">
        <v>0</v>
      </c>
      <c r="X529">
        <v>2427.12</v>
      </c>
      <c r="Y529">
        <f t="shared" si="64"/>
        <v>2427.12</v>
      </c>
      <c r="Z529">
        <v>1538.35</v>
      </c>
      <c r="AA529">
        <v>804.53</v>
      </c>
      <c r="AB529">
        <f t="shared" si="69"/>
        <v>888.77</v>
      </c>
      <c r="AC529" s="8">
        <f t="shared" si="70"/>
        <v>0.36618296581957216</v>
      </c>
      <c r="AD529" t="s">
        <v>32</v>
      </c>
      <c r="AE529" t="s">
        <v>33</v>
      </c>
      <c r="AF529" t="str">
        <f t="shared" si="71"/>
        <v>Mismatch Found</v>
      </c>
    </row>
    <row r="530" spans="1:32">
      <c r="A530" t="str">
        <f>IF(OR(I530&lt;0, ISTEXT(W530), ISTEXT(Y530)), "Invalid", IF(OR(B530="Conflicting Duplicate", M530="Unknown", S530="Unknown"), "Warning", "Valid"))</f>
        <v>Valid</v>
      </c>
      <c r="B530" t="str">
        <f t="shared" si="65"/>
        <v>-</v>
      </c>
      <c r="C530" t="s">
        <v>386</v>
      </c>
      <c r="D530" s="2">
        <v>45680</v>
      </c>
      <c r="E530" t="str">
        <f t="shared" si="66"/>
        <v>January</v>
      </c>
      <c r="F530">
        <f t="shared" si="67"/>
        <v>2025</v>
      </c>
      <c r="G530" s="2">
        <v>45683</v>
      </c>
      <c r="H530" t="s">
        <v>387</v>
      </c>
      <c r="I530">
        <f t="shared" si="68"/>
        <v>3</v>
      </c>
      <c r="J530" t="s">
        <v>2795</v>
      </c>
      <c r="K530" t="s">
        <v>128</v>
      </c>
      <c r="L530" t="s">
        <v>24</v>
      </c>
      <c r="M530" t="s">
        <v>63</v>
      </c>
      <c r="N530" t="s">
        <v>72</v>
      </c>
      <c r="O530" t="s">
        <v>73</v>
      </c>
      <c r="P530" t="s">
        <v>28</v>
      </c>
      <c r="Q530" t="s">
        <v>29</v>
      </c>
      <c r="R530" t="s">
        <v>388</v>
      </c>
      <c r="S530" t="s">
        <v>59</v>
      </c>
      <c r="T530">
        <v>9</v>
      </c>
      <c r="U530">
        <v>4458.26</v>
      </c>
      <c r="V530">
        <v>0.1</v>
      </c>
      <c r="W530">
        <v>0.1</v>
      </c>
      <c r="X530">
        <v>36111.910000000003</v>
      </c>
      <c r="Y530">
        <f t="shared" si="64"/>
        <v>36111.910000000003</v>
      </c>
      <c r="Z530">
        <v>29194.5</v>
      </c>
      <c r="AA530">
        <v>6917.41</v>
      </c>
      <c r="AB530">
        <f t="shared" si="69"/>
        <v>6917.4100000000035</v>
      </c>
      <c r="AC530" s="8">
        <f t="shared" si="70"/>
        <v>0.19155480837208563</v>
      </c>
      <c r="AD530" t="s">
        <v>32</v>
      </c>
      <c r="AE530" t="s">
        <v>33</v>
      </c>
      <c r="AF530" t="str">
        <f t="shared" si="71"/>
        <v>Perfect Match</v>
      </c>
    </row>
    <row r="531" spans="1:32">
      <c r="A531" t="str">
        <f>IF(OR(I531&lt;0, ISTEXT(W531), ISTEXT(Y531)), "Invalid", IF(OR(B531="Conflicting Duplicate", M531="Unknown", S531="Unknown"), "Warning", "Valid"))</f>
        <v>Valid</v>
      </c>
      <c r="B531" t="str">
        <f t="shared" si="65"/>
        <v>-</v>
      </c>
      <c r="C531" t="s">
        <v>395</v>
      </c>
      <c r="D531" s="2">
        <v>45786</v>
      </c>
      <c r="E531" t="str">
        <f t="shared" si="66"/>
        <v>May</v>
      </c>
      <c r="F531">
        <f t="shared" si="67"/>
        <v>2025</v>
      </c>
      <c r="G531" s="2">
        <v>45910</v>
      </c>
      <c r="H531" t="s">
        <v>396</v>
      </c>
      <c r="I531">
        <f t="shared" si="68"/>
        <v>124</v>
      </c>
      <c r="J531" t="s">
        <v>2795</v>
      </c>
      <c r="K531" t="s">
        <v>132</v>
      </c>
      <c r="L531" t="s">
        <v>90</v>
      </c>
      <c r="M531" t="s">
        <v>63</v>
      </c>
      <c r="N531" t="s">
        <v>190</v>
      </c>
      <c r="O531" t="s">
        <v>191</v>
      </c>
      <c r="P531" t="s">
        <v>41</v>
      </c>
      <c r="Q531" t="s">
        <v>158</v>
      </c>
      <c r="R531" t="s">
        <v>397</v>
      </c>
      <c r="S531" t="s">
        <v>44</v>
      </c>
      <c r="T531">
        <v>6</v>
      </c>
      <c r="U531">
        <v>1754.13</v>
      </c>
      <c r="V531">
        <v>0</v>
      </c>
      <c r="W531">
        <v>0</v>
      </c>
      <c r="X531">
        <v>10524.78</v>
      </c>
      <c r="Y531">
        <f t="shared" si="64"/>
        <v>10524.78</v>
      </c>
      <c r="Z531">
        <v>8841.0499999999993</v>
      </c>
      <c r="AA531">
        <v>1683.73</v>
      </c>
      <c r="AB531">
        <f t="shared" si="69"/>
        <v>1683.7300000000014</v>
      </c>
      <c r="AC531" s="8">
        <f t="shared" si="70"/>
        <v>0.15997769074507984</v>
      </c>
      <c r="AD531" t="s">
        <v>32</v>
      </c>
      <c r="AE531" t="s">
        <v>33</v>
      </c>
      <c r="AF531" t="str">
        <f t="shared" si="71"/>
        <v>Perfect Match</v>
      </c>
    </row>
    <row r="532" spans="1:32">
      <c r="A532" t="str">
        <f>IF(OR(I532&lt;0, ISTEXT(W532), ISTEXT(Y532)), "Invalid", IF(OR(B532="Conflicting Duplicate", M532="Unknown", S532="Unknown"), "Warning", "Valid"))</f>
        <v>Valid</v>
      </c>
      <c r="B532" t="str">
        <f t="shared" si="65"/>
        <v>-</v>
      </c>
      <c r="C532" t="s">
        <v>401</v>
      </c>
      <c r="D532" s="2">
        <v>45877</v>
      </c>
      <c r="E532" t="str">
        <f t="shared" si="66"/>
        <v>August</v>
      </c>
      <c r="F532">
        <f t="shared" si="67"/>
        <v>2025</v>
      </c>
      <c r="G532" s="2">
        <v>45880</v>
      </c>
      <c r="H532" t="s">
        <v>402</v>
      </c>
      <c r="I532">
        <f t="shared" si="68"/>
        <v>3</v>
      </c>
      <c r="J532" t="s">
        <v>2795</v>
      </c>
      <c r="K532" t="s">
        <v>162</v>
      </c>
      <c r="L532" t="s">
        <v>37</v>
      </c>
      <c r="M532" t="s">
        <v>63</v>
      </c>
      <c r="N532" t="s">
        <v>180</v>
      </c>
      <c r="O532" t="s">
        <v>181</v>
      </c>
      <c r="P532" t="s">
        <v>28</v>
      </c>
      <c r="Q532" t="s">
        <v>124</v>
      </c>
      <c r="R532" t="s">
        <v>403</v>
      </c>
      <c r="S532" t="s">
        <v>44</v>
      </c>
      <c r="T532">
        <v>5</v>
      </c>
      <c r="U532">
        <v>3602.36</v>
      </c>
      <c r="V532">
        <v>0.2</v>
      </c>
      <c r="W532">
        <v>0.2</v>
      </c>
      <c r="X532">
        <v>14409.44</v>
      </c>
      <c r="Y532">
        <f t="shared" si="64"/>
        <v>14409.44</v>
      </c>
      <c r="Z532">
        <v>8809.9699999999993</v>
      </c>
      <c r="AA532">
        <v>5599.47</v>
      </c>
      <c r="AB532">
        <f t="shared" si="69"/>
        <v>5599.4700000000012</v>
      </c>
      <c r="AC532" s="8">
        <f t="shared" si="70"/>
        <v>0.38859733619071951</v>
      </c>
      <c r="AD532" t="s">
        <v>111</v>
      </c>
      <c r="AE532" t="s">
        <v>103</v>
      </c>
      <c r="AF532" t="str">
        <f t="shared" si="71"/>
        <v>Perfect Match</v>
      </c>
    </row>
    <row r="533" spans="1:32">
      <c r="A533" t="str">
        <f>IF(OR(I533&lt;0, ISTEXT(W533), ISTEXT(Y533)), "Invalid", IF(OR(B533="Conflicting Duplicate", M533="Unknown", S533="Unknown"), "Warning", "Valid"))</f>
        <v>Valid</v>
      </c>
      <c r="B533" t="str">
        <f t="shared" si="65"/>
        <v>-</v>
      </c>
      <c r="C533" t="s">
        <v>407</v>
      </c>
      <c r="D533" s="2">
        <v>45962</v>
      </c>
      <c r="E533" t="str">
        <f t="shared" si="66"/>
        <v>November</v>
      </c>
      <c r="F533">
        <f t="shared" si="67"/>
        <v>2025</v>
      </c>
      <c r="G533" s="2">
        <v>45962</v>
      </c>
      <c r="H533" t="s">
        <v>408</v>
      </c>
      <c r="I533">
        <f t="shared" si="68"/>
        <v>0</v>
      </c>
      <c r="J533" t="s">
        <v>2795</v>
      </c>
      <c r="K533" t="s">
        <v>89</v>
      </c>
      <c r="L533" t="s">
        <v>37</v>
      </c>
      <c r="M533" t="s">
        <v>63</v>
      </c>
      <c r="N533" t="s">
        <v>26</v>
      </c>
      <c r="O533" t="s">
        <v>109</v>
      </c>
      <c r="P533" t="s">
        <v>74</v>
      </c>
      <c r="Q533" t="s">
        <v>75</v>
      </c>
      <c r="R533" t="s">
        <v>409</v>
      </c>
      <c r="S533" t="s">
        <v>44</v>
      </c>
      <c r="T533">
        <v>3</v>
      </c>
      <c r="U533">
        <v>2165.29</v>
      </c>
      <c r="V533">
        <v>0</v>
      </c>
      <c r="W533">
        <v>0</v>
      </c>
      <c r="X533">
        <v>6495.87</v>
      </c>
      <c r="Y533">
        <f t="shared" si="64"/>
        <v>6495.87</v>
      </c>
      <c r="Z533">
        <v>4700.8900000000003</v>
      </c>
      <c r="AA533">
        <v>1794.98</v>
      </c>
      <c r="AB533">
        <f t="shared" si="69"/>
        <v>1794.9799999999996</v>
      </c>
      <c r="AC533" s="8">
        <f t="shared" si="70"/>
        <v>0.27632634273777024</v>
      </c>
      <c r="AD533" t="s">
        <v>32</v>
      </c>
      <c r="AE533" t="s">
        <v>33</v>
      </c>
      <c r="AF533" t="str">
        <f t="shared" si="71"/>
        <v>Perfect Match</v>
      </c>
    </row>
    <row r="534" spans="1:32">
      <c r="A534" t="str">
        <f>IF(OR(I534&lt;0, ISTEXT(W534), ISTEXT(Y534)), "Invalid", IF(OR(B534="Conflicting Duplicate", M534="Unknown", S534="Unknown"), "Warning", "Valid"))</f>
        <v>Valid</v>
      </c>
      <c r="B534" t="str">
        <f t="shared" si="65"/>
        <v>-</v>
      </c>
      <c r="C534" t="s">
        <v>410</v>
      </c>
      <c r="D534" s="2">
        <v>45912</v>
      </c>
      <c r="E534" t="str">
        <f t="shared" si="66"/>
        <v>September</v>
      </c>
      <c r="F534">
        <f t="shared" si="67"/>
        <v>2025</v>
      </c>
      <c r="G534" s="2">
        <v>45918</v>
      </c>
      <c r="H534" t="s">
        <v>411</v>
      </c>
      <c r="I534">
        <f t="shared" si="68"/>
        <v>6</v>
      </c>
      <c r="J534" t="s">
        <v>2795</v>
      </c>
      <c r="K534" t="s">
        <v>128</v>
      </c>
      <c r="L534" t="s">
        <v>95</v>
      </c>
      <c r="M534" t="s">
        <v>54</v>
      </c>
      <c r="N534" t="s">
        <v>185</v>
      </c>
      <c r="O534" t="s">
        <v>186</v>
      </c>
      <c r="P534" t="s">
        <v>28</v>
      </c>
      <c r="Q534" t="s">
        <v>124</v>
      </c>
      <c r="R534" t="s">
        <v>412</v>
      </c>
      <c r="S534" t="s">
        <v>59</v>
      </c>
      <c r="T534">
        <v>6</v>
      </c>
      <c r="U534">
        <v>1673.8</v>
      </c>
      <c r="V534">
        <v>0.05</v>
      </c>
      <c r="W534">
        <v>0.05</v>
      </c>
      <c r="X534">
        <v>9540.66</v>
      </c>
      <c r="Y534">
        <f t="shared" si="64"/>
        <v>9540.66</v>
      </c>
      <c r="Z534">
        <v>5561.49</v>
      </c>
      <c r="AA534">
        <v>3979.17</v>
      </c>
      <c r="AB534">
        <f t="shared" si="69"/>
        <v>3979.17</v>
      </c>
      <c r="AC534" s="8">
        <f t="shared" si="70"/>
        <v>0.41707491934520252</v>
      </c>
      <c r="AD534" t="s">
        <v>32</v>
      </c>
      <c r="AE534" t="s">
        <v>33</v>
      </c>
      <c r="AF534" t="str">
        <f t="shared" si="71"/>
        <v>Perfect Match</v>
      </c>
    </row>
    <row r="535" spans="1:32">
      <c r="A535" t="str">
        <f>IF(OR(I535&lt;0, ISTEXT(W535), ISTEXT(Y535)), "Invalid", IF(OR(B535="Conflicting Duplicate", M535="Unknown", S535="Unknown"), "Warning", "Valid"))</f>
        <v>Valid</v>
      </c>
      <c r="B535" t="str">
        <f t="shared" si="65"/>
        <v>-</v>
      </c>
      <c r="C535" t="s">
        <v>416</v>
      </c>
      <c r="D535" s="2">
        <v>45850</v>
      </c>
      <c r="E535" t="str">
        <f t="shared" si="66"/>
        <v>July</v>
      </c>
      <c r="F535">
        <f t="shared" si="67"/>
        <v>2025</v>
      </c>
      <c r="G535" s="2">
        <v>45854</v>
      </c>
      <c r="H535" t="s">
        <v>417</v>
      </c>
      <c r="I535">
        <f t="shared" si="68"/>
        <v>4</v>
      </c>
      <c r="J535" t="s">
        <v>2795</v>
      </c>
      <c r="K535" t="s">
        <v>71</v>
      </c>
      <c r="L535" t="s">
        <v>24</v>
      </c>
      <c r="M535" t="s">
        <v>54</v>
      </c>
      <c r="N535" t="s">
        <v>175</v>
      </c>
      <c r="O535" t="s">
        <v>176</v>
      </c>
      <c r="P535" t="s">
        <v>41</v>
      </c>
      <c r="Q535" t="s">
        <v>66</v>
      </c>
      <c r="R535" t="s">
        <v>418</v>
      </c>
      <c r="S535" t="s">
        <v>50</v>
      </c>
      <c r="T535">
        <v>4</v>
      </c>
      <c r="U535">
        <v>2865.71</v>
      </c>
      <c r="V535">
        <v>0</v>
      </c>
      <c r="W535">
        <v>0</v>
      </c>
      <c r="X535">
        <v>11462.84</v>
      </c>
      <c r="Y535">
        <f t="shared" si="64"/>
        <v>11462.84</v>
      </c>
      <c r="Z535">
        <v>8979.7800000000007</v>
      </c>
      <c r="AA535">
        <v>2483.06</v>
      </c>
      <c r="AB535">
        <f t="shared" si="69"/>
        <v>2483.0599999999995</v>
      </c>
      <c r="AC535" s="8">
        <f t="shared" si="70"/>
        <v>0.21661822026653077</v>
      </c>
      <c r="AD535" t="s">
        <v>102</v>
      </c>
      <c r="AE535" t="s">
        <v>68</v>
      </c>
      <c r="AF535" t="str">
        <f t="shared" si="71"/>
        <v>Perfect Match</v>
      </c>
    </row>
    <row r="536" spans="1:32">
      <c r="A536" t="str">
        <f>IF(OR(I536&lt;0, ISTEXT(W536), ISTEXT(Y536)), "Invalid", IF(OR(B536="Conflicting Duplicate", M536="Unknown", S536="Unknown"), "Warning", "Valid"))</f>
        <v>Valid</v>
      </c>
      <c r="B536" t="str">
        <f t="shared" si="65"/>
        <v>-</v>
      </c>
      <c r="C536" t="s">
        <v>419</v>
      </c>
      <c r="D536" s="2">
        <v>45779</v>
      </c>
      <c r="E536" t="str">
        <f t="shared" si="66"/>
        <v>May</v>
      </c>
      <c r="F536">
        <f t="shared" si="67"/>
        <v>2025</v>
      </c>
      <c r="G536" s="2">
        <v>45787</v>
      </c>
      <c r="H536" t="s">
        <v>420</v>
      </c>
      <c r="I536">
        <f t="shared" si="68"/>
        <v>8</v>
      </c>
      <c r="J536" t="s">
        <v>2795</v>
      </c>
      <c r="K536" t="s">
        <v>264</v>
      </c>
      <c r="L536" t="s">
        <v>90</v>
      </c>
      <c r="M536" t="s">
        <v>63</v>
      </c>
      <c r="N536" t="s">
        <v>64</v>
      </c>
      <c r="O536" t="s">
        <v>65</v>
      </c>
      <c r="P536" t="s">
        <v>41</v>
      </c>
      <c r="Q536" t="s">
        <v>42</v>
      </c>
      <c r="R536" t="s">
        <v>421</v>
      </c>
      <c r="S536" t="s">
        <v>50</v>
      </c>
      <c r="T536">
        <v>4</v>
      </c>
      <c r="U536">
        <v>2440.34</v>
      </c>
      <c r="V536">
        <v>0.2</v>
      </c>
      <c r="W536">
        <v>0.2</v>
      </c>
      <c r="X536">
        <v>7809.09</v>
      </c>
      <c r="Y536">
        <f t="shared" si="64"/>
        <v>7809.09</v>
      </c>
      <c r="Z536">
        <v>6657.75</v>
      </c>
      <c r="AA536">
        <v>1151.3399999999999</v>
      </c>
      <c r="AB536">
        <f t="shared" si="69"/>
        <v>1151.3400000000001</v>
      </c>
      <c r="AC536" s="8">
        <f t="shared" si="70"/>
        <v>0.14743587280976403</v>
      </c>
      <c r="AD536" t="s">
        <v>32</v>
      </c>
      <c r="AE536" t="s">
        <v>33</v>
      </c>
      <c r="AF536" t="str">
        <f t="shared" si="71"/>
        <v>Perfect Match</v>
      </c>
    </row>
    <row r="537" spans="1:32">
      <c r="A537" t="str">
        <f>IF(OR(I537&lt;0, ISTEXT(W537), ISTEXT(Y537)), "Invalid", IF(OR(B537="Conflicting Duplicate", M537="Unknown", S537="Unknown"), "Warning", "Valid"))</f>
        <v>Valid</v>
      </c>
      <c r="B537" t="str">
        <f t="shared" si="65"/>
        <v>-</v>
      </c>
      <c r="C537" t="s">
        <v>422</v>
      </c>
      <c r="D537" s="2">
        <v>45689</v>
      </c>
      <c r="E537" t="str">
        <f t="shared" si="66"/>
        <v>February</v>
      </c>
      <c r="F537">
        <f t="shared" si="67"/>
        <v>2025</v>
      </c>
      <c r="G537" s="2">
        <v>45696</v>
      </c>
      <c r="H537" t="s">
        <v>423</v>
      </c>
      <c r="I537">
        <f t="shared" si="68"/>
        <v>7</v>
      </c>
      <c r="J537" t="s">
        <v>2795</v>
      </c>
      <c r="K537" t="s">
        <v>62</v>
      </c>
      <c r="L537" t="s">
        <v>24</v>
      </c>
      <c r="M537" t="s">
        <v>54</v>
      </c>
      <c r="N537" t="s">
        <v>175</v>
      </c>
      <c r="O537" t="s">
        <v>176</v>
      </c>
      <c r="P537" t="s">
        <v>28</v>
      </c>
      <c r="Q537" t="s">
        <v>91</v>
      </c>
      <c r="R537" t="s">
        <v>424</v>
      </c>
      <c r="S537" t="s">
        <v>44</v>
      </c>
      <c r="T537">
        <v>5</v>
      </c>
      <c r="U537">
        <v>2112.54</v>
      </c>
      <c r="V537">
        <v>0.25</v>
      </c>
      <c r="W537">
        <v>0.25</v>
      </c>
      <c r="X537">
        <v>8260.4599999999991</v>
      </c>
      <c r="Y537">
        <f t="shared" si="64"/>
        <v>7922.03</v>
      </c>
      <c r="Z537">
        <v>5619.95</v>
      </c>
      <c r="AA537">
        <v>2302.08</v>
      </c>
      <c r="AB537">
        <f t="shared" si="69"/>
        <v>2302.08</v>
      </c>
      <c r="AC537" s="8">
        <f t="shared" si="70"/>
        <v>0.29059218407403153</v>
      </c>
      <c r="AD537" t="s">
        <v>32</v>
      </c>
      <c r="AE537" t="s">
        <v>68</v>
      </c>
      <c r="AF537" t="str">
        <f t="shared" si="71"/>
        <v>Mismatch Found</v>
      </c>
    </row>
    <row r="538" spans="1:32">
      <c r="A538" t="str">
        <f>IF(OR(I538&lt;0, ISTEXT(W538), ISTEXT(Y538)), "Invalid", IF(OR(B538="Conflicting Duplicate", M538="Unknown", S538="Unknown"), "Warning", "Valid"))</f>
        <v>Valid</v>
      </c>
      <c r="B538" t="str">
        <f t="shared" si="65"/>
        <v>-</v>
      </c>
      <c r="C538" t="s">
        <v>437</v>
      </c>
      <c r="D538" s="2">
        <v>45892</v>
      </c>
      <c r="E538" t="str">
        <f t="shared" si="66"/>
        <v>August</v>
      </c>
      <c r="F538">
        <f t="shared" si="67"/>
        <v>2025</v>
      </c>
      <c r="G538" s="2">
        <v>45896</v>
      </c>
      <c r="H538" t="s">
        <v>438</v>
      </c>
      <c r="I538">
        <f t="shared" si="68"/>
        <v>4</v>
      </c>
      <c r="J538" t="s">
        <v>2795</v>
      </c>
      <c r="K538" t="s">
        <v>132</v>
      </c>
      <c r="L538" t="s">
        <v>24</v>
      </c>
      <c r="M538" t="s">
        <v>25</v>
      </c>
      <c r="N538" t="s">
        <v>350</v>
      </c>
      <c r="O538" t="s">
        <v>351</v>
      </c>
      <c r="P538" t="s">
        <v>28</v>
      </c>
      <c r="Q538" t="s">
        <v>153</v>
      </c>
      <c r="R538" t="s">
        <v>439</v>
      </c>
      <c r="S538" t="s">
        <v>31</v>
      </c>
      <c r="T538">
        <v>1</v>
      </c>
      <c r="U538">
        <v>2788.62</v>
      </c>
      <c r="V538">
        <v>0.25</v>
      </c>
      <c r="W538">
        <v>0.25</v>
      </c>
      <c r="X538">
        <v>2091.4699999999998</v>
      </c>
      <c r="Y538">
        <f t="shared" si="64"/>
        <v>2091.4699999999998</v>
      </c>
      <c r="Z538">
        <v>1317.22</v>
      </c>
      <c r="AA538">
        <v>774.25</v>
      </c>
      <c r="AB538">
        <f t="shared" si="69"/>
        <v>774.24999999999977</v>
      </c>
      <c r="AC538" s="8">
        <f t="shared" si="70"/>
        <v>0.37019416965101093</v>
      </c>
      <c r="AD538" t="s">
        <v>32</v>
      </c>
      <c r="AE538" t="s">
        <v>33</v>
      </c>
      <c r="AF538" t="str">
        <f t="shared" si="71"/>
        <v>Perfect Match</v>
      </c>
    </row>
    <row r="539" spans="1:32">
      <c r="A539" t="str">
        <f>IF(OR(I539&lt;0, ISTEXT(W539), ISTEXT(Y539)), "Invalid", IF(OR(B539="Conflicting Duplicate", M539="Unknown", S539="Unknown"), "Warning", "Valid"))</f>
        <v>Valid</v>
      </c>
      <c r="B539" t="str">
        <f t="shared" si="65"/>
        <v>-</v>
      </c>
      <c r="C539" t="s">
        <v>443</v>
      </c>
      <c r="D539" s="2">
        <v>45835</v>
      </c>
      <c r="E539" t="str">
        <f t="shared" si="66"/>
        <v>June</v>
      </c>
      <c r="F539">
        <f t="shared" si="67"/>
        <v>2025</v>
      </c>
      <c r="G539" s="2">
        <v>45838</v>
      </c>
      <c r="H539" t="s">
        <v>444</v>
      </c>
      <c r="I539">
        <f t="shared" si="68"/>
        <v>3</v>
      </c>
      <c r="J539" t="s">
        <v>2795</v>
      </c>
      <c r="K539" t="s">
        <v>79</v>
      </c>
      <c r="L539" t="s">
        <v>90</v>
      </c>
      <c r="M539" t="s">
        <v>38</v>
      </c>
      <c r="N539" t="s">
        <v>145</v>
      </c>
      <c r="O539" t="s">
        <v>146</v>
      </c>
      <c r="P539" t="s">
        <v>74</v>
      </c>
      <c r="Q539" t="s">
        <v>75</v>
      </c>
      <c r="R539" t="s">
        <v>445</v>
      </c>
      <c r="S539" t="s">
        <v>50</v>
      </c>
      <c r="T539">
        <v>1</v>
      </c>
      <c r="U539">
        <v>1708.44</v>
      </c>
      <c r="V539">
        <v>0.05</v>
      </c>
      <c r="W539">
        <v>0.05</v>
      </c>
      <c r="X539">
        <v>1623.02</v>
      </c>
      <c r="Y539">
        <f t="shared" si="64"/>
        <v>1623.02</v>
      </c>
      <c r="Z539">
        <v>1077.46</v>
      </c>
      <c r="AA539">
        <v>545.55999999999995</v>
      </c>
      <c r="AB539">
        <f t="shared" si="69"/>
        <v>545.55999999999995</v>
      </c>
      <c r="AC539" s="8">
        <f t="shared" si="70"/>
        <v>0.33613880297223692</v>
      </c>
      <c r="AD539" t="s">
        <v>111</v>
      </c>
      <c r="AE539" t="s">
        <v>68</v>
      </c>
      <c r="AF539" t="str">
        <f t="shared" si="71"/>
        <v>Perfect Match</v>
      </c>
    </row>
    <row r="540" spans="1:32">
      <c r="A540" s="6" t="str">
        <f>IF(OR(I540&lt;0, ISTEXT(W540), ISTEXT(Y540)), "Invalid", IF(OR(B540="Conflicting Duplicate", M540="Unknown", S540="Unknown"), "Warning", "Valid"))</f>
        <v>Warning</v>
      </c>
      <c r="B540" t="str">
        <f t="shared" si="65"/>
        <v>-</v>
      </c>
      <c r="C540" t="s">
        <v>457</v>
      </c>
      <c r="D540" s="2">
        <v>45703</v>
      </c>
      <c r="E540" t="str">
        <f t="shared" si="66"/>
        <v>February</v>
      </c>
      <c r="F540">
        <f t="shared" si="67"/>
        <v>2025</v>
      </c>
      <c r="G540" s="2">
        <v>45707</v>
      </c>
      <c r="H540" t="s">
        <v>458</v>
      </c>
      <c r="I540">
        <f t="shared" si="68"/>
        <v>4</v>
      </c>
      <c r="J540" t="s">
        <v>2795</v>
      </c>
      <c r="K540" t="s">
        <v>62</v>
      </c>
      <c r="L540" t="s">
        <v>37</v>
      </c>
      <c r="M540" s="4" t="s">
        <v>2790</v>
      </c>
      <c r="N540" t="s">
        <v>72</v>
      </c>
      <c r="O540" t="s">
        <v>73</v>
      </c>
      <c r="P540" t="s">
        <v>28</v>
      </c>
      <c r="Q540" t="s">
        <v>153</v>
      </c>
      <c r="R540" t="s">
        <v>459</v>
      </c>
      <c r="S540" t="s">
        <v>50</v>
      </c>
      <c r="T540">
        <v>9</v>
      </c>
      <c r="U540">
        <v>531.99</v>
      </c>
      <c r="V540">
        <v>0.25</v>
      </c>
      <c r="W540">
        <v>0.25</v>
      </c>
      <c r="X540">
        <v>3590.93</v>
      </c>
      <c r="Y540">
        <f t="shared" si="64"/>
        <v>3590.93</v>
      </c>
      <c r="Z540">
        <v>3061.39</v>
      </c>
      <c r="AA540">
        <v>529.54</v>
      </c>
      <c r="AB540">
        <f t="shared" si="69"/>
        <v>529.54</v>
      </c>
      <c r="AC540" s="8">
        <f t="shared" si="70"/>
        <v>0.14746597678038836</v>
      </c>
      <c r="AD540" t="s">
        <v>155</v>
      </c>
      <c r="AE540" t="s">
        <v>68</v>
      </c>
      <c r="AF540" t="str">
        <f t="shared" si="71"/>
        <v>Perfect Match</v>
      </c>
    </row>
    <row r="541" spans="1:32">
      <c r="A541" t="str">
        <f>IF(OR(I541&lt;0, ISTEXT(W541), ISTEXT(Y541)), "Invalid", IF(OR(B541="Conflicting Duplicate", M541="Unknown", S541="Unknown"), "Warning", "Valid"))</f>
        <v>Valid</v>
      </c>
      <c r="B541" t="str">
        <f t="shared" si="65"/>
        <v>-</v>
      </c>
      <c r="C541" t="s">
        <v>472</v>
      </c>
      <c r="D541" s="2">
        <v>45891</v>
      </c>
      <c r="E541" t="str">
        <f t="shared" si="66"/>
        <v>August</v>
      </c>
      <c r="F541">
        <f t="shared" si="67"/>
        <v>2025</v>
      </c>
      <c r="G541" s="2">
        <v>45895</v>
      </c>
      <c r="H541" t="s">
        <v>473</v>
      </c>
      <c r="I541">
        <f t="shared" si="68"/>
        <v>4</v>
      </c>
      <c r="J541" t="s">
        <v>2795</v>
      </c>
      <c r="K541" t="s">
        <v>264</v>
      </c>
      <c r="L541" t="s">
        <v>474</v>
      </c>
      <c r="M541" t="s">
        <v>54</v>
      </c>
      <c r="N541" t="s">
        <v>84</v>
      </c>
      <c r="O541" t="s">
        <v>85</v>
      </c>
      <c r="P541" t="s">
        <v>74</v>
      </c>
      <c r="Q541" t="s">
        <v>274</v>
      </c>
      <c r="R541" t="s">
        <v>475</v>
      </c>
      <c r="S541" t="s">
        <v>31</v>
      </c>
      <c r="T541">
        <v>5</v>
      </c>
      <c r="U541">
        <v>3482.92</v>
      </c>
      <c r="V541">
        <v>0</v>
      </c>
      <c r="W541">
        <v>0</v>
      </c>
      <c r="X541">
        <v>17414.599999999999</v>
      </c>
      <c r="Y541">
        <f t="shared" si="64"/>
        <v>17414.599999999999</v>
      </c>
      <c r="Z541">
        <v>11760.91</v>
      </c>
      <c r="AA541">
        <v>5653.69</v>
      </c>
      <c r="AB541">
        <f t="shared" si="69"/>
        <v>5653.6899999999987</v>
      </c>
      <c r="AC541" s="8">
        <f t="shared" si="70"/>
        <v>0.3246523032398102</v>
      </c>
      <c r="AD541" t="s">
        <v>102</v>
      </c>
      <c r="AE541" t="s">
        <v>68</v>
      </c>
      <c r="AF541" t="str">
        <f t="shared" si="71"/>
        <v>Perfect Match</v>
      </c>
    </row>
    <row r="542" spans="1:32">
      <c r="A542" t="str">
        <f>IF(OR(I542&lt;0, ISTEXT(W542), ISTEXT(Y542)), "Invalid", IF(OR(B542="Conflicting Duplicate", M542="Unknown", S542="Unknown"), "Warning", "Valid"))</f>
        <v>Valid</v>
      </c>
      <c r="B542" t="str">
        <f t="shared" si="65"/>
        <v>-</v>
      </c>
      <c r="C542" t="s">
        <v>486</v>
      </c>
      <c r="D542" s="2">
        <v>45855</v>
      </c>
      <c r="E542" t="str">
        <f t="shared" si="66"/>
        <v>July</v>
      </c>
      <c r="F542">
        <f t="shared" si="67"/>
        <v>2025</v>
      </c>
      <c r="G542" s="2">
        <v>45856</v>
      </c>
      <c r="H542" t="s">
        <v>487</v>
      </c>
      <c r="I542">
        <f t="shared" si="68"/>
        <v>1</v>
      </c>
      <c r="J542" t="s">
        <v>2795</v>
      </c>
      <c r="K542" t="s">
        <v>79</v>
      </c>
      <c r="L542" t="s">
        <v>37</v>
      </c>
      <c r="M542" t="s">
        <v>63</v>
      </c>
      <c r="N542" t="s">
        <v>26</v>
      </c>
      <c r="O542" t="s">
        <v>109</v>
      </c>
      <c r="P542" t="s">
        <v>41</v>
      </c>
      <c r="Q542" t="s">
        <v>42</v>
      </c>
      <c r="R542" t="s">
        <v>488</v>
      </c>
      <c r="S542" t="s">
        <v>44</v>
      </c>
      <c r="T542">
        <v>6</v>
      </c>
      <c r="U542">
        <v>3235.27</v>
      </c>
      <c r="V542">
        <v>0.25</v>
      </c>
      <c r="W542">
        <v>0.25</v>
      </c>
      <c r="X542">
        <v>14558.72</v>
      </c>
      <c r="Y542">
        <f t="shared" si="64"/>
        <v>14558.72</v>
      </c>
      <c r="Z542">
        <v>9591.48</v>
      </c>
      <c r="AA542">
        <v>4967.24</v>
      </c>
      <c r="AB542">
        <f t="shared" si="69"/>
        <v>4967.24</v>
      </c>
      <c r="AC542" s="8">
        <f t="shared" si="70"/>
        <v>0.34118658783189731</v>
      </c>
      <c r="AD542" t="s">
        <v>102</v>
      </c>
      <c r="AE542" t="s">
        <v>103</v>
      </c>
      <c r="AF542" t="str">
        <f t="shared" si="71"/>
        <v>Perfect Match</v>
      </c>
    </row>
    <row r="543" spans="1:32">
      <c r="A543" t="str">
        <f>IF(OR(I543&lt;0, ISTEXT(W543), ISTEXT(Y543)), "Invalid", IF(OR(B543="Conflicting Duplicate", M543="Unknown", S543="Unknown"), "Warning", "Valid"))</f>
        <v>Valid</v>
      </c>
      <c r="B543" t="str">
        <f t="shared" si="65"/>
        <v>-</v>
      </c>
      <c r="C543" t="s">
        <v>489</v>
      </c>
      <c r="D543" s="2">
        <v>45924</v>
      </c>
      <c r="E543" t="str">
        <f t="shared" si="66"/>
        <v>September</v>
      </c>
      <c r="F543">
        <f t="shared" si="67"/>
        <v>2025</v>
      </c>
      <c r="G543" s="2">
        <v>45926</v>
      </c>
      <c r="H543" t="s">
        <v>490</v>
      </c>
      <c r="I543">
        <f t="shared" si="68"/>
        <v>2</v>
      </c>
      <c r="J543" t="s">
        <v>2795</v>
      </c>
      <c r="K543" t="s">
        <v>114</v>
      </c>
      <c r="L543" t="s">
        <v>90</v>
      </c>
      <c r="M543" t="s">
        <v>25</v>
      </c>
      <c r="N543" t="s">
        <v>350</v>
      </c>
      <c r="O543" t="s">
        <v>351</v>
      </c>
      <c r="P543" t="s">
        <v>74</v>
      </c>
      <c r="Q543" t="s">
        <v>80</v>
      </c>
      <c r="R543" t="s">
        <v>491</v>
      </c>
      <c r="S543" t="s">
        <v>59</v>
      </c>
      <c r="T543">
        <v>3</v>
      </c>
      <c r="U543">
        <v>1593.86</v>
      </c>
      <c r="V543">
        <v>0.1</v>
      </c>
      <c r="W543">
        <v>0.1</v>
      </c>
      <c r="X543">
        <v>4303.42</v>
      </c>
      <c r="Y543">
        <f t="shared" si="64"/>
        <v>4303.42</v>
      </c>
      <c r="Z543">
        <v>2568.5700000000002</v>
      </c>
      <c r="AA543">
        <v>1734.85</v>
      </c>
      <c r="AB543">
        <f t="shared" si="69"/>
        <v>1734.85</v>
      </c>
      <c r="AC543" s="8">
        <f t="shared" si="70"/>
        <v>0.40313285712293939</v>
      </c>
      <c r="AD543" t="s">
        <v>32</v>
      </c>
      <c r="AE543" t="s">
        <v>33</v>
      </c>
      <c r="AF543" t="str">
        <f t="shared" si="71"/>
        <v>Perfect Match</v>
      </c>
    </row>
    <row r="544" spans="1:32">
      <c r="A544" s="6" t="str">
        <f>IF(OR(I544&lt;0, ISTEXT(W544), ISTEXT(Y544)), "Invalid", IF(OR(B544="Conflicting Duplicate", M544="Unknown", S544="Unknown"), "Warning", "Valid"))</f>
        <v>Invalid</v>
      </c>
      <c r="B544" t="str">
        <f t="shared" si="65"/>
        <v>-</v>
      </c>
      <c r="C544" t="s">
        <v>492</v>
      </c>
      <c r="D544" s="2">
        <v>45687</v>
      </c>
      <c r="E544" t="str">
        <f t="shared" si="66"/>
        <v>January</v>
      </c>
      <c r="F544">
        <f t="shared" si="67"/>
        <v>2025</v>
      </c>
      <c r="G544" s="2">
        <v>45683</v>
      </c>
      <c r="H544" t="s">
        <v>493</v>
      </c>
      <c r="I544" s="7">
        <f t="shared" si="68"/>
        <v>-4</v>
      </c>
      <c r="J544" s="7" t="s">
        <v>2802</v>
      </c>
      <c r="K544" t="s">
        <v>114</v>
      </c>
      <c r="L544" t="s">
        <v>90</v>
      </c>
      <c r="M544" t="s">
        <v>63</v>
      </c>
      <c r="N544" t="s">
        <v>72</v>
      </c>
      <c r="O544" t="s">
        <v>73</v>
      </c>
      <c r="P544" t="s">
        <v>28</v>
      </c>
      <c r="Q544" t="s">
        <v>124</v>
      </c>
      <c r="R544" t="s">
        <v>494</v>
      </c>
      <c r="S544" t="s">
        <v>31</v>
      </c>
      <c r="T544">
        <v>2</v>
      </c>
      <c r="U544">
        <v>3039.3</v>
      </c>
      <c r="V544">
        <v>0.05</v>
      </c>
      <c r="W544">
        <v>0.05</v>
      </c>
      <c r="X544">
        <v>5774.67</v>
      </c>
      <c r="Y544">
        <f t="shared" si="64"/>
        <v>5774.67</v>
      </c>
      <c r="Z544">
        <v>3518.36</v>
      </c>
      <c r="AA544">
        <v>2256.31</v>
      </c>
      <c r="AB544">
        <f t="shared" si="69"/>
        <v>2256.31</v>
      </c>
      <c r="AC544" s="8">
        <f t="shared" si="70"/>
        <v>0.39072535746631409</v>
      </c>
      <c r="AD544" t="s">
        <v>32</v>
      </c>
      <c r="AE544" t="s">
        <v>33</v>
      </c>
      <c r="AF544" t="str">
        <f t="shared" si="71"/>
        <v>Perfect Match</v>
      </c>
    </row>
    <row r="545" spans="1:32">
      <c r="A545" t="str">
        <f>IF(OR(I545&lt;0, ISTEXT(W545), ISTEXT(Y545)), "Invalid", IF(OR(B545="Conflicting Duplicate", M545="Unknown", S545="Unknown"), "Warning", "Valid"))</f>
        <v>Valid</v>
      </c>
      <c r="B545" t="str">
        <f t="shared" si="65"/>
        <v>-</v>
      </c>
      <c r="C545" t="s">
        <v>504</v>
      </c>
      <c r="D545" s="2">
        <v>45929</v>
      </c>
      <c r="E545" t="str">
        <f t="shared" si="66"/>
        <v>September</v>
      </c>
      <c r="F545">
        <f t="shared" si="67"/>
        <v>2025</v>
      </c>
      <c r="G545" s="2">
        <v>45934</v>
      </c>
      <c r="H545" t="s">
        <v>505</v>
      </c>
      <c r="I545">
        <f t="shared" si="68"/>
        <v>5</v>
      </c>
      <c r="J545" t="s">
        <v>2795</v>
      </c>
      <c r="K545" t="s">
        <v>62</v>
      </c>
      <c r="L545" t="s">
        <v>95</v>
      </c>
      <c r="M545" t="s">
        <v>38</v>
      </c>
      <c r="N545" t="s">
        <v>228</v>
      </c>
      <c r="O545" t="s">
        <v>229</v>
      </c>
      <c r="P545" t="s">
        <v>28</v>
      </c>
      <c r="Q545" t="s">
        <v>29</v>
      </c>
      <c r="R545" t="s">
        <v>506</v>
      </c>
      <c r="S545" t="s">
        <v>44</v>
      </c>
      <c r="T545">
        <v>9</v>
      </c>
      <c r="U545">
        <v>373.91</v>
      </c>
      <c r="V545">
        <v>0.2</v>
      </c>
      <c r="W545">
        <v>0.2</v>
      </c>
      <c r="X545">
        <v>2692.15</v>
      </c>
      <c r="Y545">
        <f t="shared" si="64"/>
        <v>2692.15</v>
      </c>
      <c r="Z545">
        <v>2044.49</v>
      </c>
      <c r="AA545">
        <v>647.66</v>
      </c>
      <c r="AB545">
        <f t="shared" si="69"/>
        <v>647.66000000000008</v>
      </c>
      <c r="AC545" s="8">
        <f t="shared" si="70"/>
        <v>0.2405735193061308</v>
      </c>
      <c r="AD545" t="s">
        <v>32</v>
      </c>
      <c r="AE545" t="s">
        <v>33</v>
      </c>
      <c r="AF545" t="str">
        <f t="shared" si="71"/>
        <v>Perfect Match</v>
      </c>
    </row>
    <row r="546" spans="1:32">
      <c r="A546" s="6" t="str">
        <f>IF(OR(I546&lt;0, ISTEXT(W546), ISTEXT(Y546)), "Invalid", IF(OR(B546="Conflicting Duplicate", M546="Unknown", S546="Unknown"), "Warning", "Valid"))</f>
        <v>Warning</v>
      </c>
      <c r="B546" t="str">
        <f t="shared" si="65"/>
        <v>-</v>
      </c>
      <c r="C546" t="s">
        <v>513</v>
      </c>
      <c r="D546" s="2">
        <v>45852</v>
      </c>
      <c r="E546" t="str">
        <f t="shared" si="66"/>
        <v>July</v>
      </c>
      <c r="F546">
        <f t="shared" si="67"/>
        <v>2025</v>
      </c>
      <c r="G546" s="2">
        <v>45852</v>
      </c>
      <c r="H546" t="s">
        <v>514</v>
      </c>
      <c r="I546">
        <f t="shared" si="68"/>
        <v>0</v>
      </c>
      <c r="J546" t="s">
        <v>2795</v>
      </c>
      <c r="K546" t="s">
        <v>71</v>
      </c>
      <c r="L546" t="s">
        <v>95</v>
      </c>
      <c r="M546" t="s">
        <v>38</v>
      </c>
      <c r="N546" t="s">
        <v>99</v>
      </c>
      <c r="O546" t="s">
        <v>100</v>
      </c>
      <c r="P546" t="s">
        <v>41</v>
      </c>
      <c r="Q546" t="s">
        <v>158</v>
      </c>
      <c r="R546" t="s">
        <v>515</v>
      </c>
      <c r="S546" s="4" t="s">
        <v>2790</v>
      </c>
      <c r="T546">
        <v>5</v>
      </c>
      <c r="U546">
        <v>383.1</v>
      </c>
      <c r="V546">
        <v>0.25</v>
      </c>
      <c r="W546">
        <v>0.25</v>
      </c>
      <c r="X546">
        <v>1436.62</v>
      </c>
      <c r="Y546">
        <f t="shared" si="64"/>
        <v>1436.63</v>
      </c>
      <c r="Z546">
        <v>912.52</v>
      </c>
      <c r="AA546">
        <v>524.1</v>
      </c>
      <c r="AB546">
        <f t="shared" si="69"/>
        <v>524.11000000000013</v>
      </c>
      <c r="AC546" s="8">
        <f t="shared" si="70"/>
        <v>0.36481905570675821</v>
      </c>
      <c r="AD546" t="s">
        <v>111</v>
      </c>
      <c r="AE546" t="s">
        <v>68</v>
      </c>
      <c r="AF546" t="str">
        <f t="shared" si="71"/>
        <v>Mismatch Found</v>
      </c>
    </row>
    <row r="547" spans="1:32">
      <c r="A547" t="str">
        <f>IF(OR(I547&lt;0, ISTEXT(W547), ISTEXT(Y547)), "Invalid", IF(OR(B547="Conflicting Duplicate", M547="Unknown", S547="Unknown"), "Warning", "Valid"))</f>
        <v>Valid</v>
      </c>
      <c r="B547" t="str">
        <f t="shared" si="65"/>
        <v>-</v>
      </c>
      <c r="C547" t="s">
        <v>516</v>
      </c>
      <c r="D547" s="2">
        <v>45893</v>
      </c>
      <c r="E547" t="str">
        <f t="shared" si="66"/>
        <v>August</v>
      </c>
      <c r="F547">
        <f t="shared" si="67"/>
        <v>2025</v>
      </c>
      <c r="G547" s="2">
        <v>45893</v>
      </c>
      <c r="H547" t="s">
        <v>517</v>
      </c>
      <c r="I547">
        <f t="shared" si="68"/>
        <v>0</v>
      </c>
      <c r="J547" t="s">
        <v>2795</v>
      </c>
      <c r="K547" t="s">
        <v>162</v>
      </c>
      <c r="L547" t="s">
        <v>37</v>
      </c>
      <c r="M547" t="s">
        <v>54</v>
      </c>
      <c r="N547" t="s">
        <v>185</v>
      </c>
      <c r="O547" t="s">
        <v>186</v>
      </c>
      <c r="P547" t="s">
        <v>41</v>
      </c>
      <c r="Q547" t="s">
        <v>158</v>
      </c>
      <c r="R547" t="s">
        <v>518</v>
      </c>
      <c r="S547" t="s">
        <v>59</v>
      </c>
      <c r="T547">
        <v>1</v>
      </c>
      <c r="U547">
        <v>3424.78</v>
      </c>
      <c r="V547">
        <v>0</v>
      </c>
      <c r="W547">
        <v>0</v>
      </c>
      <c r="X547">
        <v>3424.78</v>
      </c>
      <c r="Y547">
        <f t="shared" si="64"/>
        <v>3424.78</v>
      </c>
      <c r="Z547">
        <v>1951.45</v>
      </c>
      <c r="AA547">
        <v>1473.33</v>
      </c>
      <c r="AB547">
        <f t="shared" si="69"/>
        <v>1473.3300000000002</v>
      </c>
      <c r="AC547" s="8">
        <f t="shared" si="70"/>
        <v>0.43019697615613267</v>
      </c>
      <c r="AD547" t="s">
        <v>32</v>
      </c>
      <c r="AE547" t="s">
        <v>33</v>
      </c>
      <c r="AF547" t="str">
        <f t="shared" si="71"/>
        <v>Perfect Match</v>
      </c>
    </row>
    <row r="548" spans="1:32">
      <c r="A548" s="6" t="str">
        <f>IF(OR(I548&lt;0, ISTEXT(W548), ISTEXT(Y548)), "Invalid", IF(OR(B548="Conflicting Duplicate", M548="Unknown", S548="Unknown"), "Warning", "Valid"))</f>
        <v>Invalid</v>
      </c>
      <c r="B548" t="str">
        <f t="shared" si="65"/>
        <v>-</v>
      </c>
      <c r="C548" t="s">
        <v>519</v>
      </c>
      <c r="D548" s="2">
        <v>45902</v>
      </c>
      <c r="E548" t="str">
        <f t="shared" si="66"/>
        <v>September</v>
      </c>
      <c r="F548">
        <f t="shared" si="67"/>
        <v>2025</v>
      </c>
      <c r="G548" s="2">
        <v>45703</v>
      </c>
      <c r="H548" t="s">
        <v>520</v>
      </c>
      <c r="I548" s="7">
        <f t="shared" si="68"/>
        <v>-199</v>
      </c>
      <c r="J548" s="7" t="s">
        <v>2802</v>
      </c>
      <c r="K548" t="s">
        <v>36</v>
      </c>
      <c r="L548" t="s">
        <v>95</v>
      </c>
      <c r="M548" t="s">
        <v>38</v>
      </c>
      <c r="N548" t="s">
        <v>228</v>
      </c>
      <c r="O548" t="s">
        <v>229</v>
      </c>
      <c r="P548" t="s">
        <v>28</v>
      </c>
      <c r="Q548" t="s">
        <v>153</v>
      </c>
      <c r="R548" t="s">
        <v>521</v>
      </c>
      <c r="S548" t="s">
        <v>59</v>
      </c>
      <c r="T548">
        <v>9</v>
      </c>
      <c r="U548">
        <v>4330.33</v>
      </c>
      <c r="V548">
        <v>0.2</v>
      </c>
      <c r="W548">
        <v>0.2</v>
      </c>
      <c r="X548">
        <v>31178.38</v>
      </c>
      <c r="Y548">
        <f t="shared" si="64"/>
        <v>31178.38</v>
      </c>
      <c r="Z548">
        <v>21421.09</v>
      </c>
      <c r="AA548">
        <v>9757.2900000000009</v>
      </c>
      <c r="AB548">
        <f t="shared" si="69"/>
        <v>9757.2900000000009</v>
      </c>
      <c r="AC548" s="8">
        <f t="shared" si="70"/>
        <v>0.31295051250257394</v>
      </c>
      <c r="AD548" t="s">
        <v>32</v>
      </c>
      <c r="AE548" t="s">
        <v>33</v>
      </c>
      <c r="AF548" t="str">
        <f t="shared" si="71"/>
        <v>Perfect Match</v>
      </c>
    </row>
    <row r="549" spans="1:32">
      <c r="A549" t="str">
        <f>IF(OR(I549&lt;0, ISTEXT(W549), ISTEXT(Y549)), "Invalid", IF(OR(B549="Conflicting Duplicate", M549="Unknown", S549="Unknown"), "Warning", "Valid"))</f>
        <v>Valid</v>
      </c>
      <c r="B549" t="str">
        <f t="shared" si="65"/>
        <v>-</v>
      </c>
      <c r="C549" t="s">
        <v>522</v>
      </c>
      <c r="D549" s="2">
        <v>45666</v>
      </c>
      <c r="E549" t="str">
        <f t="shared" si="66"/>
        <v>January</v>
      </c>
      <c r="F549">
        <f t="shared" si="67"/>
        <v>2025</v>
      </c>
      <c r="G549" s="2">
        <v>45666</v>
      </c>
      <c r="H549" t="s">
        <v>523</v>
      </c>
      <c r="I549">
        <f t="shared" si="68"/>
        <v>0</v>
      </c>
      <c r="J549" t="s">
        <v>2795</v>
      </c>
      <c r="K549" t="s">
        <v>132</v>
      </c>
      <c r="L549" t="s">
        <v>37</v>
      </c>
      <c r="M549" t="s">
        <v>25</v>
      </c>
      <c r="N549" t="s">
        <v>26</v>
      </c>
      <c r="O549" t="s">
        <v>27</v>
      </c>
      <c r="P549" t="s">
        <v>41</v>
      </c>
      <c r="Q549" t="s">
        <v>66</v>
      </c>
      <c r="R549" t="s">
        <v>524</v>
      </c>
      <c r="S549" t="s">
        <v>44</v>
      </c>
      <c r="T549">
        <v>8</v>
      </c>
      <c r="U549">
        <v>2667.07</v>
      </c>
      <c r="V549">
        <v>0.1</v>
      </c>
      <c r="W549">
        <v>0.1</v>
      </c>
      <c r="X549">
        <v>19202.900000000001</v>
      </c>
      <c r="Y549">
        <f t="shared" si="64"/>
        <v>19202.900000000001</v>
      </c>
      <c r="Z549">
        <v>15526.62</v>
      </c>
      <c r="AA549">
        <v>3676.28</v>
      </c>
      <c r="AB549">
        <f t="shared" si="69"/>
        <v>3676.2800000000007</v>
      </c>
      <c r="AC549" s="8">
        <f t="shared" si="70"/>
        <v>0.19144400064573583</v>
      </c>
      <c r="AD549" t="s">
        <v>32</v>
      </c>
      <c r="AE549" t="s">
        <v>33</v>
      </c>
      <c r="AF549" t="str">
        <f t="shared" si="71"/>
        <v>Perfect Match</v>
      </c>
    </row>
    <row r="550" spans="1:32">
      <c r="A550" t="str">
        <f>IF(OR(I550&lt;0, ISTEXT(W550), ISTEXT(Y550)), "Invalid", IF(OR(B550="Conflicting Duplicate", M550="Unknown", S550="Unknown"), "Warning", "Valid"))</f>
        <v>Valid</v>
      </c>
      <c r="B550" t="str">
        <f t="shared" si="65"/>
        <v>-</v>
      </c>
      <c r="C550" t="s">
        <v>528</v>
      </c>
      <c r="D550" s="2">
        <v>45718</v>
      </c>
      <c r="E550" t="str">
        <f t="shared" si="66"/>
        <v>March</v>
      </c>
      <c r="F550">
        <f t="shared" si="67"/>
        <v>2025</v>
      </c>
      <c r="G550" s="2">
        <v>45841</v>
      </c>
      <c r="H550" t="s">
        <v>529</v>
      </c>
      <c r="I550">
        <f t="shared" si="68"/>
        <v>123</v>
      </c>
      <c r="J550" t="s">
        <v>2795</v>
      </c>
      <c r="K550" t="s">
        <v>79</v>
      </c>
      <c r="L550" t="s">
        <v>95</v>
      </c>
      <c r="M550" t="s">
        <v>54</v>
      </c>
      <c r="N550" t="s">
        <v>175</v>
      </c>
      <c r="O550" t="s">
        <v>176</v>
      </c>
      <c r="P550" t="s">
        <v>28</v>
      </c>
      <c r="Q550" t="s">
        <v>91</v>
      </c>
      <c r="R550" t="s">
        <v>530</v>
      </c>
      <c r="S550" t="s">
        <v>59</v>
      </c>
      <c r="T550">
        <v>8</v>
      </c>
      <c r="U550">
        <v>1287.6300000000001</v>
      </c>
      <c r="V550">
        <v>0</v>
      </c>
      <c r="W550">
        <v>0</v>
      </c>
      <c r="X550">
        <v>10301.040000000001</v>
      </c>
      <c r="Y550">
        <f t="shared" si="64"/>
        <v>10301.040000000001</v>
      </c>
      <c r="Z550">
        <v>6564.06</v>
      </c>
      <c r="AA550">
        <v>3736.98</v>
      </c>
      <c r="AB550">
        <f t="shared" si="69"/>
        <v>3736.9800000000005</v>
      </c>
      <c r="AC550" s="8">
        <f t="shared" si="70"/>
        <v>0.3627769623261341</v>
      </c>
      <c r="AD550" t="s">
        <v>32</v>
      </c>
      <c r="AE550" t="s">
        <v>33</v>
      </c>
      <c r="AF550" t="str">
        <f t="shared" si="71"/>
        <v>Perfect Match</v>
      </c>
    </row>
    <row r="551" spans="1:32">
      <c r="A551" s="6" t="str">
        <f>IF(OR(I551&lt;0, ISTEXT(W551), ISTEXT(Y551)), "Invalid", IF(OR(B551="Conflicting Duplicate", M551="Unknown", S551="Unknown"), "Warning", "Valid"))</f>
        <v>Invalid</v>
      </c>
      <c r="B551" t="str">
        <f t="shared" si="65"/>
        <v>-</v>
      </c>
      <c r="C551" t="s">
        <v>546</v>
      </c>
      <c r="D551" s="2">
        <v>45965</v>
      </c>
      <c r="E551" t="str">
        <f t="shared" si="66"/>
        <v>November</v>
      </c>
      <c r="F551">
        <f t="shared" si="67"/>
        <v>2025</v>
      </c>
      <c r="G551" s="2">
        <v>45760</v>
      </c>
      <c r="H551" t="s">
        <v>547</v>
      </c>
      <c r="I551" s="7">
        <f t="shared" si="68"/>
        <v>-205</v>
      </c>
      <c r="J551" s="7" t="s">
        <v>2802</v>
      </c>
      <c r="K551" t="s">
        <v>36</v>
      </c>
      <c r="L551" t="s">
        <v>37</v>
      </c>
      <c r="M551" t="s">
        <v>63</v>
      </c>
      <c r="N551" t="s">
        <v>190</v>
      </c>
      <c r="O551" t="s">
        <v>191</v>
      </c>
      <c r="P551" t="s">
        <v>28</v>
      </c>
      <c r="Q551" t="s">
        <v>29</v>
      </c>
      <c r="R551" t="s">
        <v>548</v>
      </c>
      <c r="S551" t="s">
        <v>59</v>
      </c>
      <c r="T551">
        <v>4</v>
      </c>
      <c r="U551">
        <v>4182.1499999999996</v>
      </c>
      <c r="V551">
        <v>0.1</v>
      </c>
      <c r="W551">
        <v>0.1</v>
      </c>
      <c r="X551">
        <v>15055.74</v>
      </c>
      <c r="Y551">
        <f t="shared" si="64"/>
        <v>15055.74</v>
      </c>
      <c r="Z551">
        <v>9808.83</v>
      </c>
      <c r="AA551">
        <v>5246.91</v>
      </c>
      <c r="AB551">
        <f t="shared" si="69"/>
        <v>5246.91</v>
      </c>
      <c r="AC551" s="8">
        <f t="shared" si="70"/>
        <v>0.34849897779850075</v>
      </c>
      <c r="AD551" t="s">
        <v>32</v>
      </c>
      <c r="AE551" t="s">
        <v>33</v>
      </c>
      <c r="AF551" t="str">
        <f t="shared" si="71"/>
        <v>Perfect Match</v>
      </c>
    </row>
    <row r="552" spans="1:32">
      <c r="A552" t="str">
        <f>IF(OR(I552&lt;0, ISTEXT(W552), ISTEXT(Y552)), "Invalid", IF(OR(B552="Conflicting Duplicate", M552="Unknown", S552="Unknown"), "Warning", "Valid"))</f>
        <v>Valid</v>
      </c>
      <c r="B552" t="str">
        <f t="shared" si="65"/>
        <v>-</v>
      </c>
      <c r="C552" t="s">
        <v>549</v>
      </c>
      <c r="D552" s="2">
        <v>45868</v>
      </c>
      <c r="E552" t="str">
        <f t="shared" si="66"/>
        <v>July</v>
      </c>
      <c r="F552">
        <f t="shared" si="67"/>
        <v>2025</v>
      </c>
      <c r="G552" s="2">
        <v>45870</v>
      </c>
      <c r="H552" t="s">
        <v>550</v>
      </c>
      <c r="I552">
        <f t="shared" si="68"/>
        <v>2</v>
      </c>
      <c r="J552" t="s">
        <v>2795</v>
      </c>
      <c r="K552" t="s">
        <v>132</v>
      </c>
      <c r="L552" t="s">
        <v>37</v>
      </c>
      <c r="M552" t="s">
        <v>54</v>
      </c>
      <c r="N552" t="s">
        <v>247</v>
      </c>
      <c r="O552" t="s">
        <v>248</v>
      </c>
      <c r="P552" t="s">
        <v>28</v>
      </c>
      <c r="Q552" t="s">
        <v>124</v>
      </c>
      <c r="R552" t="s">
        <v>551</v>
      </c>
      <c r="S552" t="s">
        <v>44</v>
      </c>
      <c r="T552">
        <v>9</v>
      </c>
      <c r="U552">
        <v>3165.43</v>
      </c>
      <c r="V552">
        <v>0.1</v>
      </c>
      <c r="W552">
        <v>0.1</v>
      </c>
      <c r="X552">
        <v>25639.98</v>
      </c>
      <c r="Y552">
        <f t="shared" si="64"/>
        <v>25639.98</v>
      </c>
      <c r="Z552">
        <v>21635.08</v>
      </c>
      <c r="AA552">
        <v>4004.9</v>
      </c>
      <c r="AB552">
        <f t="shared" si="69"/>
        <v>4004.8999999999978</v>
      </c>
      <c r="AC552" s="8">
        <f t="shared" si="70"/>
        <v>0.15619746973281562</v>
      </c>
      <c r="AD552" t="s">
        <v>32</v>
      </c>
      <c r="AE552" t="s">
        <v>33</v>
      </c>
      <c r="AF552" t="str">
        <f t="shared" si="71"/>
        <v>Perfect Match</v>
      </c>
    </row>
    <row r="553" spans="1:32">
      <c r="A553" s="6" t="str">
        <f>IF(OR(I553&lt;0, ISTEXT(W553), ISTEXT(Y553)), "Invalid", IF(OR(B553="Conflicting Duplicate", M553="Unknown", S553="Unknown"), "Warning", "Valid"))</f>
        <v>Warning</v>
      </c>
      <c r="B553" t="str">
        <f t="shared" si="65"/>
        <v>-</v>
      </c>
      <c r="C553" t="s">
        <v>555</v>
      </c>
      <c r="D553" s="2">
        <v>45697</v>
      </c>
      <c r="E553" t="str">
        <f t="shared" si="66"/>
        <v>February</v>
      </c>
      <c r="F553">
        <f t="shared" si="67"/>
        <v>2025</v>
      </c>
      <c r="G553" s="2">
        <v>45701</v>
      </c>
      <c r="H553" t="s">
        <v>556</v>
      </c>
      <c r="I553">
        <f t="shared" si="68"/>
        <v>4</v>
      </c>
      <c r="J553" t="s">
        <v>2795</v>
      </c>
      <c r="K553" t="s">
        <v>36</v>
      </c>
      <c r="L553" t="s">
        <v>95</v>
      </c>
      <c r="M553" t="s">
        <v>63</v>
      </c>
      <c r="N553" t="s">
        <v>72</v>
      </c>
      <c r="O553" t="s">
        <v>73</v>
      </c>
      <c r="P553" t="s">
        <v>74</v>
      </c>
      <c r="Q553" t="s">
        <v>171</v>
      </c>
      <c r="R553" t="s">
        <v>557</v>
      </c>
      <c r="S553" s="4" t="s">
        <v>2790</v>
      </c>
      <c r="T553">
        <v>8</v>
      </c>
      <c r="U553">
        <v>1696.07</v>
      </c>
      <c r="V553">
        <v>0.25</v>
      </c>
      <c r="W553">
        <v>0.25</v>
      </c>
      <c r="X553">
        <v>10176.42</v>
      </c>
      <c r="Y553">
        <f t="shared" si="64"/>
        <v>10176.42</v>
      </c>
      <c r="Z553">
        <v>7604.47</v>
      </c>
      <c r="AA553">
        <v>2571.9499999999998</v>
      </c>
      <c r="AB553">
        <f t="shared" si="69"/>
        <v>2571.9499999999998</v>
      </c>
      <c r="AC553" s="8">
        <f t="shared" si="70"/>
        <v>0.252736227474888</v>
      </c>
      <c r="AD553" t="s">
        <v>32</v>
      </c>
      <c r="AE553" t="s">
        <v>33</v>
      </c>
      <c r="AF553" t="str">
        <f t="shared" si="71"/>
        <v>Perfect Match</v>
      </c>
    </row>
    <row r="554" spans="1:32">
      <c r="A554" t="str">
        <f>IF(OR(I554&lt;0, ISTEXT(W554), ISTEXT(Y554)), "Invalid", IF(OR(B554="Conflicting Duplicate", M554="Unknown", S554="Unknown"), "Warning", "Valid"))</f>
        <v>Valid</v>
      </c>
      <c r="B554" t="str">
        <f t="shared" si="65"/>
        <v>-</v>
      </c>
      <c r="C554" t="s">
        <v>571</v>
      </c>
      <c r="D554" s="2">
        <v>45923</v>
      </c>
      <c r="E554" t="str">
        <f t="shared" si="66"/>
        <v>September</v>
      </c>
      <c r="F554">
        <f t="shared" si="67"/>
        <v>2025</v>
      </c>
      <c r="G554" s="2">
        <v>45925</v>
      </c>
      <c r="H554" t="s">
        <v>572</v>
      </c>
      <c r="I554">
        <f t="shared" si="68"/>
        <v>2</v>
      </c>
      <c r="J554" t="s">
        <v>2795</v>
      </c>
      <c r="K554" t="s">
        <v>89</v>
      </c>
      <c r="L554" t="s">
        <v>24</v>
      </c>
      <c r="M554" t="s">
        <v>38</v>
      </c>
      <c r="N554" t="s">
        <v>39</v>
      </c>
      <c r="O554" t="s">
        <v>40</v>
      </c>
      <c r="P554" t="s">
        <v>28</v>
      </c>
      <c r="Q554" t="s">
        <v>91</v>
      </c>
      <c r="R554" t="s">
        <v>573</v>
      </c>
      <c r="S554" t="s">
        <v>59</v>
      </c>
      <c r="T554">
        <v>7</v>
      </c>
      <c r="U554">
        <v>3280.31</v>
      </c>
      <c r="V554">
        <v>0</v>
      </c>
      <c r="W554">
        <v>0</v>
      </c>
      <c r="X554">
        <v>22962.17</v>
      </c>
      <c r="Y554">
        <f t="shared" si="64"/>
        <v>22962.17</v>
      </c>
      <c r="Z554">
        <v>15716.5</v>
      </c>
      <c r="AA554">
        <v>7245.67</v>
      </c>
      <c r="AB554">
        <f t="shared" si="69"/>
        <v>7245.6699999999983</v>
      </c>
      <c r="AC554" s="8">
        <f t="shared" si="70"/>
        <v>0.31554813852523517</v>
      </c>
      <c r="AD554" t="s">
        <v>102</v>
      </c>
      <c r="AE554" t="s">
        <v>103</v>
      </c>
      <c r="AF554" t="str">
        <f t="shared" si="71"/>
        <v>Perfect Match</v>
      </c>
    </row>
    <row r="555" spans="1:32">
      <c r="A555" t="str">
        <f>IF(OR(I555&lt;0, ISTEXT(W555), ISTEXT(Y555)), "Invalid", IF(OR(B555="Conflicting Duplicate", M555="Unknown", S555="Unknown"), "Warning", "Valid"))</f>
        <v>Valid</v>
      </c>
      <c r="B555" t="str">
        <f t="shared" si="65"/>
        <v>-</v>
      </c>
      <c r="C555" t="s">
        <v>576</v>
      </c>
      <c r="D555" s="2">
        <v>45683</v>
      </c>
      <c r="E555" t="str">
        <f t="shared" si="66"/>
        <v>January</v>
      </c>
      <c r="F555">
        <f t="shared" si="67"/>
        <v>2025</v>
      </c>
      <c r="G555" s="2">
        <v>45691</v>
      </c>
      <c r="H555" t="s">
        <v>577</v>
      </c>
      <c r="I555">
        <f t="shared" si="68"/>
        <v>8</v>
      </c>
      <c r="J555" t="s">
        <v>2795</v>
      </c>
      <c r="K555" t="s">
        <v>23</v>
      </c>
      <c r="L555" t="s">
        <v>90</v>
      </c>
      <c r="M555" t="s">
        <v>63</v>
      </c>
      <c r="N555" t="s">
        <v>26</v>
      </c>
      <c r="O555" t="s">
        <v>109</v>
      </c>
      <c r="P555" t="s">
        <v>41</v>
      </c>
      <c r="Q555" t="s">
        <v>57</v>
      </c>
      <c r="R555" t="s">
        <v>578</v>
      </c>
      <c r="S555" t="s">
        <v>44</v>
      </c>
      <c r="T555">
        <v>3</v>
      </c>
      <c r="U555">
        <v>2859.32</v>
      </c>
      <c r="V555">
        <v>0.1</v>
      </c>
      <c r="W555">
        <v>0.1</v>
      </c>
      <c r="X555">
        <v>7720.16</v>
      </c>
      <c r="Y555">
        <f t="shared" si="64"/>
        <v>7720.16</v>
      </c>
      <c r="Z555">
        <v>5881</v>
      </c>
      <c r="AA555">
        <v>1839.16</v>
      </c>
      <c r="AB555">
        <f t="shared" si="69"/>
        <v>1839.1599999999999</v>
      </c>
      <c r="AC555" s="8">
        <f t="shared" si="70"/>
        <v>0.23822822324925907</v>
      </c>
      <c r="AD555" t="s">
        <v>102</v>
      </c>
      <c r="AE555" t="s">
        <v>103</v>
      </c>
      <c r="AF555" t="str">
        <f t="shared" si="71"/>
        <v>Perfect Match</v>
      </c>
    </row>
    <row r="556" spans="1:32">
      <c r="A556" t="str">
        <f>IF(OR(I556&lt;0, ISTEXT(W556), ISTEXT(Y556)), "Invalid", IF(OR(B556="Conflicting Duplicate", M556="Unknown", S556="Unknown"), "Warning", "Valid"))</f>
        <v>Valid</v>
      </c>
      <c r="B556" t="str">
        <f t="shared" si="65"/>
        <v>-</v>
      </c>
      <c r="C556" t="s">
        <v>579</v>
      </c>
      <c r="D556" s="2">
        <v>45743</v>
      </c>
      <c r="E556" t="str">
        <f t="shared" si="66"/>
        <v>March</v>
      </c>
      <c r="F556">
        <f t="shared" si="67"/>
        <v>2025</v>
      </c>
      <c r="G556" s="2">
        <v>45743</v>
      </c>
      <c r="H556" t="s">
        <v>580</v>
      </c>
      <c r="I556">
        <f t="shared" si="68"/>
        <v>0</v>
      </c>
      <c r="J556" t="s">
        <v>2795</v>
      </c>
      <c r="K556" t="s">
        <v>71</v>
      </c>
      <c r="L556" t="s">
        <v>37</v>
      </c>
      <c r="M556" t="s">
        <v>38</v>
      </c>
      <c r="N556" t="s">
        <v>145</v>
      </c>
      <c r="O556" t="s">
        <v>146</v>
      </c>
      <c r="P556" t="s">
        <v>74</v>
      </c>
      <c r="Q556" t="s">
        <v>274</v>
      </c>
      <c r="R556" t="s">
        <v>581</v>
      </c>
      <c r="S556" t="s">
        <v>31</v>
      </c>
      <c r="T556">
        <v>7</v>
      </c>
      <c r="U556">
        <v>2305.37</v>
      </c>
      <c r="V556">
        <v>0.25</v>
      </c>
      <c r="W556">
        <v>0.25</v>
      </c>
      <c r="X556">
        <v>12103.19</v>
      </c>
      <c r="Y556">
        <f t="shared" si="64"/>
        <v>12103.19</v>
      </c>
      <c r="Z556">
        <v>6717.87</v>
      </c>
      <c r="AA556">
        <v>5385.32</v>
      </c>
      <c r="AB556">
        <f t="shared" si="69"/>
        <v>5385.3200000000006</v>
      </c>
      <c r="AC556" s="8">
        <f t="shared" si="70"/>
        <v>0.44495046347285305</v>
      </c>
      <c r="AD556" t="s">
        <v>32</v>
      </c>
      <c r="AE556" t="s">
        <v>33</v>
      </c>
      <c r="AF556" t="str">
        <f t="shared" si="71"/>
        <v>Perfect Match</v>
      </c>
    </row>
    <row r="557" spans="1:32">
      <c r="A557" t="str">
        <f>IF(OR(I557&lt;0, ISTEXT(W557), ISTEXT(Y557)), "Invalid", IF(OR(B557="Conflicting Duplicate", M557="Unknown", S557="Unknown"), "Warning", "Valid"))</f>
        <v>Valid</v>
      </c>
      <c r="B557" t="str">
        <f t="shared" si="65"/>
        <v>-</v>
      </c>
      <c r="C557" t="s">
        <v>588</v>
      </c>
      <c r="D557" s="2">
        <v>45687</v>
      </c>
      <c r="E557" t="str">
        <f t="shared" si="66"/>
        <v>January</v>
      </c>
      <c r="F557">
        <f t="shared" si="67"/>
        <v>2025</v>
      </c>
      <c r="G557" s="2">
        <v>45749</v>
      </c>
      <c r="H557" t="s">
        <v>589</v>
      </c>
      <c r="I557">
        <f t="shared" si="68"/>
        <v>62</v>
      </c>
      <c r="J557" t="s">
        <v>2795</v>
      </c>
      <c r="K557" t="s">
        <v>114</v>
      </c>
      <c r="L557" t="s">
        <v>90</v>
      </c>
      <c r="M557" t="s">
        <v>25</v>
      </c>
      <c r="N557" t="s">
        <v>236</v>
      </c>
      <c r="O557" t="s">
        <v>237</v>
      </c>
      <c r="P557" t="s">
        <v>41</v>
      </c>
      <c r="Q557" t="s">
        <v>66</v>
      </c>
      <c r="R557" t="s">
        <v>590</v>
      </c>
      <c r="S557" t="s">
        <v>44</v>
      </c>
      <c r="T557">
        <v>9</v>
      </c>
      <c r="U557">
        <v>4430.5</v>
      </c>
      <c r="V557">
        <v>0.15</v>
      </c>
      <c r="W557">
        <v>0.15</v>
      </c>
      <c r="X557">
        <v>33893.32</v>
      </c>
      <c r="Y557">
        <f t="shared" si="64"/>
        <v>33893.33</v>
      </c>
      <c r="Z557">
        <v>25750.35</v>
      </c>
      <c r="AA557">
        <v>8142.97</v>
      </c>
      <c r="AB557">
        <f t="shared" si="69"/>
        <v>8142.9800000000032</v>
      </c>
      <c r="AC557" s="8">
        <f t="shared" si="70"/>
        <v>0.24025317075660618</v>
      </c>
      <c r="AD557" t="s">
        <v>111</v>
      </c>
      <c r="AE557" t="s">
        <v>68</v>
      </c>
      <c r="AF557" t="str">
        <f t="shared" si="71"/>
        <v>Mismatch Found</v>
      </c>
    </row>
    <row r="558" spans="1:32">
      <c r="A558" t="str">
        <f>IF(OR(I558&lt;0, ISTEXT(W558), ISTEXT(Y558)), "Invalid", IF(OR(B558="Conflicting Duplicate", M558="Unknown", S558="Unknown"), "Warning", "Valid"))</f>
        <v>Valid</v>
      </c>
      <c r="B558" t="str">
        <f t="shared" si="65"/>
        <v>-</v>
      </c>
      <c r="C558" t="s">
        <v>591</v>
      </c>
      <c r="D558" s="2">
        <v>45879</v>
      </c>
      <c r="E558" t="str">
        <f t="shared" si="66"/>
        <v>August</v>
      </c>
      <c r="F558">
        <f t="shared" si="67"/>
        <v>2025</v>
      </c>
      <c r="G558" s="2">
        <v>45936</v>
      </c>
      <c r="H558" t="s">
        <v>592</v>
      </c>
      <c r="I558">
        <f t="shared" si="68"/>
        <v>57</v>
      </c>
      <c r="J558" t="s">
        <v>2795</v>
      </c>
      <c r="K558" t="s">
        <v>71</v>
      </c>
      <c r="L558" t="s">
        <v>37</v>
      </c>
      <c r="M558" t="s">
        <v>63</v>
      </c>
      <c r="N558" t="s">
        <v>64</v>
      </c>
      <c r="O558" t="s">
        <v>65</v>
      </c>
      <c r="P558" t="s">
        <v>28</v>
      </c>
      <c r="Q558" t="s">
        <v>29</v>
      </c>
      <c r="R558" t="s">
        <v>593</v>
      </c>
      <c r="S558" t="s">
        <v>31</v>
      </c>
      <c r="T558">
        <v>4</v>
      </c>
      <c r="U558">
        <v>1260.42</v>
      </c>
      <c r="V558">
        <v>0.05</v>
      </c>
      <c r="W558">
        <v>0.05</v>
      </c>
      <c r="X558">
        <v>4789.6000000000004</v>
      </c>
      <c r="Y558">
        <f t="shared" si="64"/>
        <v>4789.6000000000004</v>
      </c>
      <c r="Z558">
        <v>4037.64</v>
      </c>
      <c r="AA558">
        <v>751.96</v>
      </c>
      <c r="AB558">
        <f t="shared" si="69"/>
        <v>751.96000000000049</v>
      </c>
      <c r="AC558" s="8">
        <f t="shared" si="70"/>
        <v>0.15699849674294314</v>
      </c>
      <c r="AD558" t="s">
        <v>111</v>
      </c>
      <c r="AE558" t="s">
        <v>68</v>
      </c>
      <c r="AF558" t="str">
        <f t="shared" si="71"/>
        <v>Perfect Match</v>
      </c>
    </row>
    <row r="559" spans="1:32">
      <c r="A559" t="str">
        <f>IF(OR(I559&lt;0, ISTEXT(W559), ISTEXT(Y559)), "Invalid", IF(OR(B559="Conflicting Duplicate", M559="Unknown", S559="Unknown"), "Warning", "Valid"))</f>
        <v>Valid</v>
      </c>
      <c r="B559" t="str">
        <f t="shared" si="65"/>
        <v>-</v>
      </c>
      <c r="C559" t="s">
        <v>594</v>
      </c>
      <c r="D559" s="2">
        <v>45862</v>
      </c>
      <c r="E559" t="str">
        <f t="shared" si="66"/>
        <v>July</v>
      </c>
      <c r="F559">
        <f t="shared" si="67"/>
        <v>2025</v>
      </c>
      <c r="G559" s="2">
        <v>45868</v>
      </c>
      <c r="H559" t="s">
        <v>595</v>
      </c>
      <c r="I559">
        <f t="shared" si="68"/>
        <v>6</v>
      </c>
      <c r="J559" t="s">
        <v>2795</v>
      </c>
      <c r="K559" t="s">
        <v>53</v>
      </c>
      <c r="L559" t="s">
        <v>596</v>
      </c>
      <c r="M559" t="s">
        <v>63</v>
      </c>
      <c r="N559" t="s">
        <v>26</v>
      </c>
      <c r="O559" t="s">
        <v>109</v>
      </c>
      <c r="P559" t="s">
        <v>28</v>
      </c>
      <c r="Q559" t="s">
        <v>153</v>
      </c>
      <c r="R559" t="s">
        <v>597</v>
      </c>
      <c r="S559" t="s">
        <v>59</v>
      </c>
      <c r="T559">
        <v>1</v>
      </c>
      <c r="U559">
        <v>1643.41</v>
      </c>
      <c r="V559">
        <v>0</v>
      </c>
      <c r="W559">
        <v>0</v>
      </c>
      <c r="X559">
        <v>1643.41</v>
      </c>
      <c r="Y559">
        <f t="shared" si="64"/>
        <v>1643.41</v>
      </c>
      <c r="Z559">
        <v>907.4</v>
      </c>
      <c r="AA559">
        <v>736.01</v>
      </c>
      <c r="AB559">
        <f t="shared" si="69"/>
        <v>736.0100000000001</v>
      </c>
      <c r="AC559" s="8">
        <f t="shared" si="70"/>
        <v>0.44785537388722235</v>
      </c>
      <c r="AD559" t="s">
        <v>111</v>
      </c>
      <c r="AE559" t="s">
        <v>68</v>
      </c>
      <c r="AF559" t="str">
        <f t="shared" si="71"/>
        <v>Perfect Match</v>
      </c>
    </row>
    <row r="560" spans="1:32">
      <c r="A560" s="6" t="str">
        <f>IF(OR(I560&lt;0, ISTEXT(W560), ISTEXT(Y560)), "Invalid", IF(OR(B560="Conflicting Duplicate", M560="Unknown", S560="Unknown"), "Warning", "Valid"))</f>
        <v>Warning</v>
      </c>
      <c r="B560" t="str">
        <f t="shared" si="65"/>
        <v>-</v>
      </c>
      <c r="C560" t="s">
        <v>601</v>
      </c>
      <c r="D560" s="2">
        <v>45921</v>
      </c>
      <c r="E560" t="str">
        <f t="shared" si="66"/>
        <v>September</v>
      </c>
      <c r="F560">
        <f t="shared" si="67"/>
        <v>2025</v>
      </c>
      <c r="G560" s="2">
        <v>45926</v>
      </c>
      <c r="H560" t="s">
        <v>602</v>
      </c>
      <c r="I560">
        <f t="shared" si="68"/>
        <v>5</v>
      </c>
      <c r="J560" t="s">
        <v>2795</v>
      </c>
      <c r="K560" t="s">
        <v>141</v>
      </c>
      <c r="L560" t="s">
        <v>95</v>
      </c>
      <c r="M560" t="s">
        <v>63</v>
      </c>
      <c r="N560" t="s">
        <v>180</v>
      </c>
      <c r="O560" t="s">
        <v>181</v>
      </c>
      <c r="P560" t="s">
        <v>41</v>
      </c>
      <c r="Q560" t="s">
        <v>42</v>
      </c>
      <c r="R560" t="s">
        <v>603</v>
      </c>
      <c r="S560" s="4" t="s">
        <v>2790</v>
      </c>
      <c r="T560">
        <v>6</v>
      </c>
      <c r="U560">
        <v>2903.58</v>
      </c>
      <c r="V560">
        <v>0.1</v>
      </c>
      <c r="W560">
        <v>0.1</v>
      </c>
      <c r="X560">
        <v>15679.33</v>
      </c>
      <c r="Y560">
        <f t="shared" si="64"/>
        <v>15679.33</v>
      </c>
      <c r="Z560">
        <v>12477.82</v>
      </c>
      <c r="AA560">
        <v>3201.51</v>
      </c>
      <c r="AB560">
        <f t="shared" si="69"/>
        <v>3201.51</v>
      </c>
      <c r="AC560" s="8">
        <f t="shared" si="70"/>
        <v>0.20418665848604503</v>
      </c>
      <c r="AD560" t="s">
        <v>111</v>
      </c>
      <c r="AE560" t="s">
        <v>103</v>
      </c>
      <c r="AF560" t="str">
        <f t="shared" si="71"/>
        <v>Perfect Match</v>
      </c>
    </row>
    <row r="561" spans="1:32">
      <c r="A561" t="str">
        <f>IF(OR(I561&lt;0, ISTEXT(W561), ISTEXT(Y561)), "Invalid", IF(OR(B561="Conflicting Duplicate", M561="Unknown", S561="Unknown"), "Warning", "Valid"))</f>
        <v>Valid</v>
      </c>
      <c r="B561" t="str">
        <f t="shared" si="65"/>
        <v>-</v>
      </c>
      <c r="C561" t="s">
        <v>604</v>
      </c>
      <c r="D561" s="2">
        <v>45909</v>
      </c>
      <c r="E561" t="str">
        <f t="shared" si="66"/>
        <v>September</v>
      </c>
      <c r="F561">
        <f t="shared" si="67"/>
        <v>2025</v>
      </c>
      <c r="G561" s="2">
        <v>45914</v>
      </c>
      <c r="H561" t="s">
        <v>605</v>
      </c>
      <c r="I561">
        <f t="shared" si="68"/>
        <v>5</v>
      </c>
      <c r="J561" t="s">
        <v>2795</v>
      </c>
      <c r="K561" t="s">
        <v>118</v>
      </c>
      <c r="L561" t="s">
        <v>37</v>
      </c>
      <c r="M561" t="s">
        <v>38</v>
      </c>
      <c r="N561" t="s">
        <v>99</v>
      </c>
      <c r="O561" t="s">
        <v>100</v>
      </c>
      <c r="P561" t="s">
        <v>41</v>
      </c>
      <c r="Q561" t="s">
        <v>158</v>
      </c>
      <c r="R561" t="s">
        <v>606</v>
      </c>
      <c r="S561" t="s">
        <v>31</v>
      </c>
      <c r="T561">
        <v>1</v>
      </c>
      <c r="U561">
        <v>3154.42</v>
      </c>
      <c r="V561">
        <v>0.25</v>
      </c>
      <c r="W561">
        <v>0.25</v>
      </c>
      <c r="X561">
        <v>2365.8200000000002</v>
      </c>
      <c r="Y561">
        <f t="shared" si="64"/>
        <v>2365.8200000000002</v>
      </c>
      <c r="Z561">
        <v>1547.99</v>
      </c>
      <c r="AA561">
        <v>817.83</v>
      </c>
      <c r="AB561">
        <f t="shared" si="69"/>
        <v>817.83000000000015</v>
      </c>
      <c r="AC561" s="8">
        <f t="shared" si="70"/>
        <v>0.34568563965136828</v>
      </c>
      <c r="AD561" t="s">
        <v>32</v>
      </c>
      <c r="AE561" t="s">
        <v>33</v>
      </c>
      <c r="AF561" t="str">
        <f t="shared" si="71"/>
        <v>Perfect Match</v>
      </c>
    </row>
    <row r="562" spans="1:32">
      <c r="A562" t="str">
        <f>IF(OR(I562&lt;0, ISTEXT(W562), ISTEXT(Y562)), "Invalid", IF(OR(B562="Conflicting Duplicate", M562="Unknown", S562="Unknown"), "Warning", "Valid"))</f>
        <v>Valid</v>
      </c>
      <c r="B562" t="str">
        <f t="shared" si="65"/>
        <v>-</v>
      </c>
      <c r="C562" t="s">
        <v>610</v>
      </c>
      <c r="D562" s="2">
        <v>45708</v>
      </c>
      <c r="E562" t="str">
        <f t="shared" si="66"/>
        <v>February</v>
      </c>
      <c r="F562">
        <f t="shared" si="67"/>
        <v>2025</v>
      </c>
      <c r="G562" s="2">
        <v>45714</v>
      </c>
      <c r="H562" t="s">
        <v>611</v>
      </c>
      <c r="I562">
        <f t="shared" si="68"/>
        <v>6</v>
      </c>
      <c r="J562" t="s">
        <v>2795</v>
      </c>
      <c r="K562" t="s">
        <v>23</v>
      </c>
      <c r="L562" t="s">
        <v>37</v>
      </c>
      <c r="M562" t="s">
        <v>63</v>
      </c>
      <c r="N562" t="s">
        <v>180</v>
      </c>
      <c r="O562" t="s">
        <v>181</v>
      </c>
      <c r="P562" t="s">
        <v>612</v>
      </c>
      <c r="Q562" t="s">
        <v>91</v>
      </c>
      <c r="R562" t="s">
        <v>613</v>
      </c>
      <c r="S562" t="s">
        <v>50</v>
      </c>
      <c r="T562">
        <v>1</v>
      </c>
      <c r="U562">
        <v>2557.85</v>
      </c>
      <c r="V562">
        <v>0.2</v>
      </c>
      <c r="W562">
        <v>0.2</v>
      </c>
      <c r="X562">
        <v>2046.28</v>
      </c>
      <c r="Y562">
        <f t="shared" si="64"/>
        <v>2046.28</v>
      </c>
      <c r="Z562">
        <v>1449.54</v>
      </c>
      <c r="AA562">
        <v>596.74</v>
      </c>
      <c r="AB562">
        <f t="shared" si="69"/>
        <v>596.74</v>
      </c>
      <c r="AC562" s="8">
        <f t="shared" si="70"/>
        <v>0.29162186992982386</v>
      </c>
      <c r="AD562" t="s">
        <v>32</v>
      </c>
      <c r="AE562" t="s">
        <v>33</v>
      </c>
      <c r="AF562" t="str">
        <f t="shared" si="71"/>
        <v>Perfect Match</v>
      </c>
    </row>
    <row r="563" spans="1:32">
      <c r="A563" t="str">
        <f>IF(OR(I563&lt;0, ISTEXT(W563), ISTEXT(Y563)), "Invalid", IF(OR(B563="Conflicting Duplicate", M563="Unknown", S563="Unknown"), "Warning", "Valid"))</f>
        <v>Valid</v>
      </c>
      <c r="B563" t="str">
        <f t="shared" si="65"/>
        <v>-</v>
      </c>
      <c r="C563" t="s">
        <v>614</v>
      </c>
      <c r="D563" s="2">
        <v>45887</v>
      </c>
      <c r="E563" t="str">
        <f t="shared" si="66"/>
        <v>August</v>
      </c>
      <c r="F563">
        <f t="shared" si="67"/>
        <v>2025</v>
      </c>
      <c r="G563" s="2">
        <v>45887</v>
      </c>
      <c r="H563" t="s">
        <v>615</v>
      </c>
      <c r="I563">
        <f t="shared" si="68"/>
        <v>0</v>
      </c>
      <c r="J563" t="s">
        <v>2795</v>
      </c>
      <c r="K563" t="s">
        <v>53</v>
      </c>
      <c r="L563" t="s">
        <v>95</v>
      </c>
      <c r="M563" t="s">
        <v>54</v>
      </c>
      <c r="N563" t="s">
        <v>175</v>
      </c>
      <c r="O563" t="s">
        <v>176</v>
      </c>
      <c r="P563" t="s">
        <v>28</v>
      </c>
      <c r="Q563" t="s">
        <v>124</v>
      </c>
      <c r="R563" t="s">
        <v>616</v>
      </c>
      <c r="S563" t="s">
        <v>50</v>
      </c>
      <c r="T563">
        <v>9</v>
      </c>
      <c r="U563">
        <v>3030.93</v>
      </c>
      <c r="V563">
        <v>0.15</v>
      </c>
      <c r="W563">
        <v>0.15</v>
      </c>
      <c r="X563">
        <v>23186.61</v>
      </c>
      <c r="Y563">
        <f t="shared" si="64"/>
        <v>23186.61</v>
      </c>
      <c r="Z563">
        <v>17906.54</v>
      </c>
      <c r="AA563">
        <v>5280.07</v>
      </c>
      <c r="AB563">
        <f t="shared" si="69"/>
        <v>5280.07</v>
      </c>
      <c r="AC563" s="8">
        <f t="shared" si="70"/>
        <v>0.22772065429142077</v>
      </c>
      <c r="AD563" t="s">
        <v>32</v>
      </c>
      <c r="AE563" t="s">
        <v>103</v>
      </c>
      <c r="AF563" t="str">
        <f t="shared" si="71"/>
        <v>Perfect Match</v>
      </c>
    </row>
    <row r="564" spans="1:32">
      <c r="A564" t="str">
        <f>IF(OR(I564&lt;0, ISTEXT(W564), ISTEXT(Y564)), "Invalid", IF(OR(B564="Conflicting Duplicate", M564="Unknown", S564="Unknown"), "Warning", "Valid"))</f>
        <v>Valid</v>
      </c>
      <c r="B564" t="str">
        <f t="shared" si="65"/>
        <v>-</v>
      </c>
      <c r="C564" t="s">
        <v>617</v>
      </c>
      <c r="D564" s="2">
        <v>45677</v>
      </c>
      <c r="E564" t="str">
        <f t="shared" si="66"/>
        <v>January</v>
      </c>
      <c r="F564">
        <f t="shared" si="67"/>
        <v>2025</v>
      </c>
      <c r="G564" s="2">
        <v>45680</v>
      </c>
      <c r="H564" t="s">
        <v>618</v>
      </c>
      <c r="I564">
        <f t="shared" si="68"/>
        <v>3</v>
      </c>
      <c r="J564" t="s">
        <v>2795</v>
      </c>
      <c r="K564" t="s">
        <v>264</v>
      </c>
      <c r="L564" t="s">
        <v>24</v>
      </c>
      <c r="M564" t="s">
        <v>63</v>
      </c>
      <c r="N564" t="s">
        <v>64</v>
      </c>
      <c r="O564" t="s">
        <v>65</v>
      </c>
      <c r="P564" t="s">
        <v>74</v>
      </c>
      <c r="Q564" t="s">
        <v>75</v>
      </c>
      <c r="R564" t="s">
        <v>619</v>
      </c>
      <c r="S564" t="s">
        <v>44</v>
      </c>
      <c r="T564">
        <v>5</v>
      </c>
      <c r="U564">
        <v>639.27</v>
      </c>
      <c r="V564">
        <v>0.2</v>
      </c>
      <c r="W564">
        <v>0.2</v>
      </c>
      <c r="X564">
        <v>2557.08</v>
      </c>
      <c r="Y564">
        <f t="shared" si="64"/>
        <v>2557.08</v>
      </c>
      <c r="Z564">
        <v>2025.69</v>
      </c>
      <c r="AA564">
        <v>531.39</v>
      </c>
      <c r="AB564">
        <f t="shared" si="69"/>
        <v>531.38999999999987</v>
      </c>
      <c r="AC564" s="8">
        <f t="shared" si="70"/>
        <v>0.2078112534609789</v>
      </c>
      <c r="AD564" t="s">
        <v>32</v>
      </c>
      <c r="AE564" t="s">
        <v>68</v>
      </c>
      <c r="AF564" t="str">
        <f t="shared" si="71"/>
        <v>Perfect Match</v>
      </c>
    </row>
    <row r="565" spans="1:32">
      <c r="A565" t="str">
        <f>IF(OR(I565&lt;0, ISTEXT(W565), ISTEXT(Y565)), "Invalid", IF(OR(B565="Conflicting Duplicate", M565="Unknown", S565="Unknown"), "Warning", "Valid"))</f>
        <v>Valid</v>
      </c>
      <c r="B565" t="str">
        <f t="shared" si="65"/>
        <v>-</v>
      </c>
      <c r="C565" t="s">
        <v>620</v>
      </c>
      <c r="D565" s="2">
        <v>45913</v>
      </c>
      <c r="E565" t="str">
        <f t="shared" si="66"/>
        <v>September</v>
      </c>
      <c r="F565">
        <f t="shared" si="67"/>
        <v>2025</v>
      </c>
      <c r="G565" s="2">
        <v>45913</v>
      </c>
      <c r="H565" t="s">
        <v>621</v>
      </c>
      <c r="I565">
        <f t="shared" si="68"/>
        <v>0</v>
      </c>
      <c r="J565" t="s">
        <v>2795</v>
      </c>
      <c r="K565" t="s">
        <v>162</v>
      </c>
      <c r="L565" t="s">
        <v>24</v>
      </c>
      <c r="M565" t="s">
        <v>38</v>
      </c>
      <c r="N565" t="s">
        <v>166</v>
      </c>
      <c r="O565" t="s">
        <v>167</v>
      </c>
      <c r="P565" t="s">
        <v>28</v>
      </c>
      <c r="Q565" t="s">
        <v>48</v>
      </c>
      <c r="R565" t="s">
        <v>622</v>
      </c>
      <c r="S565" t="s">
        <v>59</v>
      </c>
      <c r="T565">
        <v>8</v>
      </c>
      <c r="U565">
        <v>733.9</v>
      </c>
      <c r="V565">
        <v>0.05</v>
      </c>
      <c r="W565">
        <v>0.05</v>
      </c>
      <c r="X565">
        <v>5577.64</v>
      </c>
      <c r="Y565">
        <f t="shared" si="64"/>
        <v>5577.64</v>
      </c>
      <c r="Z565">
        <v>3541.29</v>
      </c>
      <c r="AA565">
        <v>2036.35</v>
      </c>
      <c r="AB565">
        <f t="shared" si="69"/>
        <v>2036.3500000000004</v>
      </c>
      <c r="AC565" s="8">
        <f t="shared" si="70"/>
        <v>0.36509168752375559</v>
      </c>
      <c r="AD565" t="s">
        <v>111</v>
      </c>
      <c r="AE565" t="s">
        <v>103</v>
      </c>
      <c r="AF565" t="str">
        <f t="shared" si="71"/>
        <v>Perfect Match</v>
      </c>
    </row>
    <row r="566" spans="1:32">
      <c r="A566" s="6" t="str">
        <f>IF(OR(I566&lt;0, ISTEXT(W566), ISTEXT(Y566)), "Invalid", IF(OR(B566="Conflicting Duplicate", M566="Unknown", S566="Unknown"), "Warning", "Valid"))</f>
        <v>Warning</v>
      </c>
      <c r="B566" t="str">
        <f t="shared" si="65"/>
        <v>Conflicting Duplicate</v>
      </c>
      <c r="C566" t="s">
        <v>623</v>
      </c>
      <c r="D566" s="2">
        <v>45847</v>
      </c>
      <c r="E566" t="str">
        <f t="shared" si="66"/>
        <v>July</v>
      </c>
      <c r="F566">
        <f t="shared" si="67"/>
        <v>2025</v>
      </c>
      <c r="G566" s="2">
        <v>45915</v>
      </c>
      <c r="H566" t="s">
        <v>624</v>
      </c>
      <c r="I566">
        <f t="shared" si="68"/>
        <v>68</v>
      </c>
      <c r="J566" t="s">
        <v>2795</v>
      </c>
      <c r="K566" t="s">
        <v>141</v>
      </c>
      <c r="L566" t="s">
        <v>90</v>
      </c>
      <c r="M566" t="s">
        <v>38</v>
      </c>
      <c r="N566" t="s">
        <v>145</v>
      </c>
      <c r="O566" t="s">
        <v>146</v>
      </c>
      <c r="P566" t="s">
        <v>74</v>
      </c>
      <c r="Q566" t="s">
        <v>80</v>
      </c>
      <c r="R566" t="s">
        <v>625</v>
      </c>
      <c r="S566" t="s">
        <v>59</v>
      </c>
      <c r="T566">
        <v>3</v>
      </c>
      <c r="U566">
        <v>1711.32</v>
      </c>
      <c r="V566">
        <v>0</v>
      </c>
      <c r="W566">
        <v>0</v>
      </c>
      <c r="X566">
        <v>5133.96</v>
      </c>
      <c r="Y566">
        <f t="shared" si="64"/>
        <v>5133.96</v>
      </c>
      <c r="Z566">
        <v>3930</v>
      </c>
      <c r="AA566">
        <v>1203.96</v>
      </c>
      <c r="AB566">
        <f t="shared" si="69"/>
        <v>1203.96</v>
      </c>
      <c r="AC566" s="8">
        <f t="shared" si="70"/>
        <v>0.23450903396208775</v>
      </c>
      <c r="AD566" t="s">
        <v>32</v>
      </c>
      <c r="AE566" t="s">
        <v>33</v>
      </c>
      <c r="AF566" t="str">
        <f t="shared" si="71"/>
        <v>Perfect Match</v>
      </c>
    </row>
    <row r="567" spans="1:32">
      <c r="A567" s="6" t="str">
        <f>IF(OR(I567&lt;0, ISTEXT(W567), ISTEXT(Y567)), "Invalid", IF(OR(B567="Conflicting Duplicate", M567="Unknown", S567="Unknown"), "Warning", "Valid"))</f>
        <v>Warning</v>
      </c>
      <c r="B567" t="str">
        <f t="shared" si="65"/>
        <v>Conflicting Duplicate</v>
      </c>
      <c r="C567" t="s">
        <v>623</v>
      </c>
      <c r="D567" s="2">
        <v>45847</v>
      </c>
      <c r="E567" t="str">
        <f t="shared" si="66"/>
        <v>July</v>
      </c>
      <c r="F567">
        <f t="shared" si="67"/>
        <v>2025</v>
      </c>
      <c r="G567" s="2">
        <v>45915</v>
      </c>
      <c r="H567" t="s">
        <v>624</v>
      </c>
      <c r="I567">
        <f t="shared" si="68"/>
        <v>68</v>
      </c>
      <c r="J567" t="s">
        <v>2795</v>
      </c>
      <c r="K567" t="s">
        <v>141</v>
      </c>
      <c r="L567" t="s">
        <v>90</v>
      </c>
      <c r="M567" t="s">
        <v>38</v>
      </c>
      <c r="N567" t="s">
        <v>145</v>
      </c>
      <c r="O567" t="s">
        <v>146</v>
      </c>
      <c r="P567" t="s">
        <v>74</v>
      </c>
      <c r="Q567" t="s">
        <v>80</v>
      </c>
      <c r="R567" t="s">
        <v>625</v>
      </c>
      <c r="S567" t="s">
        <v>59</v>
      </c>
      <c r="T567">
        <v>3</v>
      </c>
      <c r="U567">
        <v>1711.32</v>
      </c>
      <c r="V567">
        <v>0</v>
      </c>
      <c r="W567">
        <v>0</v>
      </c>
      <c r="X567">
        <v>5206.53</v>
      </c>
      <c r="Y567">
        <f t="shared" si="64"/>
        <v>5133.96</v>
      </c>
      <c r="Z567">
        <v>3930</v>
      </c>
      <c r="AA567">
        <v>1203.96</v>
      </c>
      <c r="AB567">
        <f t="shared" si="69"/>
        <v>1203.96</v>
      </c>
      <c r="AC567" s="8">
        <f t="shared" si="70"/>
        <v>0.23450903396208775</v>
      </c>
      <c r="AD567" t="s">
        <v>32</v>
      </c>
      <c r="AE567" t="s">
        <v>103</v>
      </c>
      <c r="AF567" t="str">
        <f t="shared" si="71"/>
        <v>Mismatch Found</v>
      </c>
    </row>
    <row r="568" spans="1:32">
      <c r="A568" t="str">
        <f>IF(OR(I568&lt;0, ISTEXT(W568), ISTEXT(Y568)), "Invalid", IF(OR(B568="Conflicting Duplicate", M568="Unknown", S568="Unknown"), "Warning", "Valid"))</f>
        <v>Valid</v>
      </c>
      <c r="B568" t="str">
        <f t="shared" si="65"/>
        <v>-</v>
      </c>
      <c r="C568" t="s">
        <v>626</v>
      </c>
      <c r="D568" s="2">
        <v>45711</v>
      </c>
      <c r="E568" t="str">
        <f t="shared" si="66"/>
        <v>February</v>
      </c>
      <c r="F568">
        <f t="shared" si="67"/>
        <v>2025</v>
      </c>
      <c r="G568" s="2">
        <v>45713</v>
      </c>
      <c r="H568" t="s">
        <v>627</v>
      </c>
      <c r="I568">
        <f t="shared" si="68"/>
        <v>2</v>
      </c>
      <c r="J568" t="s">
        <v>2795</v>
      </c>
      <c r="K568" t="s">
        <v>23</v>
      </c>
      <c r="L568" t="s">
        <v>90</v>
      </c>
      <c r="M568" t="s">
        <v>38</v>
      </c>
      <c r="N568" t="s">
        <v>145</v>
      </c>
      <c r="O568" t="s">
        <v>146</v>
      </c>
      <c r="P568" t="s">
        <v>28</v>
      </c>
      <c r="Q568" t="s">
        <v>91</v>
      </c>
      <c r="R568" t="s">
        <v>628</v>
      </c>
      <c r="S568" t="s">
        <v>44</v>
      </c>
      <c r="T568">
        <v>5</v>
      </c>
      <c r="U568">
        <v>4246.2700000000004</v>
      </c>
      <c r="V568">
        <v>0.25</v>
      </c>
      <c r="W568">
        <v>0.25</v>
      </c>
      <c r="X568">
        <v>15923.51</v>
      </c>
      <c r="Y568">
        <f t="shared" si="64"/>
        <v>15923.51</v>
      </c>
      <c r="Z568">
        <v>11291.8</v>
      </c>
      <c r="AA568">
        <v>4631.71</v>
      </c>
      <c r="AB568">
        <f t="shared" si="69"/>
        <v>4631.7100000000009</v>
      </c>
      <c r="AC568" s="8">
        <f t="shared" si="70"/>
        <v>0.29087242699630927</v>
      </c>
      <c r="AD568" t="s">
        <v>32</v>
      </c>
      <c r="AE568" t="s">
        <v>33</v>
      </c>
      <c r="AF568" t="str">
        <f t="shared" si="71"/>
        <v>Perfect Match</v>
      </c>
    </row>
    <row r="569" spans="1:32">
      <c r="A569" t="str">
        <f>IF(OR(I569&lt;0, ISTEXT(W569), ISTEXT(Y569)), "Invalid", IF(OR(B569="Conflicting Duplicate", M569="Unknown", S569="Unknown"), "Warning", "Valid"))</f>
        <v>Valid</v>
      </c>
      <c r="B569" t="str">
        <f t="shared" si="65"/>
        <v>-</v>
      </c>
      <c r="C569" t="s">
        <v>629</v>
      </c>
      <c r="D569" s="2">
        <v>45696</v>
      </c>
      <c r="E569" t="str">
        <f t="shared" si="66"/>
        <v>February</v>
      </c>
      <c r="F569">
        <f t="shared" si="67"/>
        <v>2025</v>
      </c>
      <c r="G569" s="2">
        <v>45938</v>
      </c>
      <c r="H569" t="s">
        <v>630</v>
      </c>
      <c r="I569">
        <f t="shared" si="68"/>
        <v>242</v>
      </c>
      <c r="J569" t="s">
        <v>2795</v>
      </c>
      <c r="K569" t="s">
        <v>23</v>
      </c>
      <c r="L569" t="s">
        <v>90</v>
      </c>
      <c r="M569" t="s">
        <v>25</v>
      </c>
      <c r="N569" t="s">
        <v>350</v>
      </c>
      <c r="O569" t="s">
        <v>351</v>
      </c>
      <c r="P569" t="s">
        <v>41</v>
      </c>
      <c r="Q569" t="s">
        <v>57</v>
      </c>
      <c r="R569" t="s">
        <v>631</v>
      </c>
      <c r="S569" t="s">
        <v>44</v>
      </c>
      <c r="T569">
        <v>9</v>
      </c>
      <c r="U569">
        <v>2962.62</v>
      </c>
      <c r="V569">
        <v>0.1</v>
      </c>
      <c r="W569">
        <v>0.1</v>
      </c>
      <c r="X569">
        <v>23997.22</v>
      </c>
      <c r="Y569">
        <f t="shared" si="64"/>
        <v>23997.22</v>
      </c>
      <c r="Z569">
        <v>16134.63</v>
      </c>
      <c r="AA569">
        <v>7862.59</v>
      </c>
      <c r="AB569">
        <f t="shared" si="69"/>
        <v>7862.590000000002</v>
      </c>
      <c r="AC569" s="8">
        <f t="shared" si="70"/>
        <v>0.32764586897982356</v>
      </c>
      <c r="AD569" t="s">
        <v>102</v>
      </c>
      <c r="AE569" t="s">
        <v>103</v>
      </c>
      <c r="AF569" t="str">
        <f t="shared" si="71"/>
        <v>Perfect Match</v>
      </c>
    </row>
    <row r="570" spans="1:32">
      <c r="A570" s="6" t="str">
        <f>IF(OR(I570&lt;0, ISTEXT(W570), ISTEXT(Y570)), "Invalid", IF(OR(B570="Conflicting Duplicate", M570="Unknown", S570="Unknown"), "Warning", "Valid"))</f>
        <v>Invalid</v>
      </c>
      <c r="B570" t="str">
        <f t="shared" si="65"/>
        <v>-</v>
      </c>
      <c r="C570" t="s">
        <v>635</v>
      </c>
      <c r="D570" s="2">
        <v>45928</v>
      </c>
      <c r="E570" t="str">
        <f t="shared" si="66"/>
        <v>September</v>
      </c>
      <c r="F570">
        <f t="shared" si="67"/>
        <v>2025</v>
      </c>
      <c r="G570" s="2">
        <v>45757</v>
      </c>
      <c r="H570" t="s">
        <v>636</v>
      </c>
      <c r="I570" s="7">
        <f t="shared" si="68"/>
        <v>-171</v>
      </c>
      <c r="J570" s="7" t="s">
        <v>2802</v>
      </c>
      <c r="K570" t="s">
        <v>23</v>
      </c>
      <c r="L570" t="s">
        <v>37</v>
      </c>
      <c r="M570" t="s">
        <v>54</v>
      </c>
      <c r="N570" t="s">
        <v>175</v>
      </c>
      <c r="O570" t="s">
        <v>176</v>
      </c>
      <c r="P570" t="s">
        <v>41</v>
      </c>
      <c r="Q570" t="s">
        <v>158</v>
      </c>
      <c r="R570" t="s">
        <v>637</v>
      </c>
      <c r="S570" t="s">
        <v>50</v>
      </c>
      <c r="T570">
        <v>6</v>
      </c>
      <c r="U570">
        <v>1620.53</v>
      </c>
      <c r="V570">
        <v>0.15</v>
      </c>
      <c r="W570">
        <v>0.15</v>
      </c>
      <c r="X570">
        <v>8264.7000000000007</v>
      </c>
      <c r="Y570">
        <f t="shared" si="64"/>
        <v>8264.7000000000007</v>
      </c>
      <c r="Z570">
        <v>4768.75</v>
      </c>
      <c r="AA570">
        <v>3495.95</v>
      </c>
      <c r="AB570">
        <f t="shared" si="69"/>
        <v>3495.9500000000007</v>
      </c>
      <c r="AC570" s="8">
        <f t="shared" si="70"/>
        <v>0.42299780996285413</v>
      </c>
      <c r="AD570" t="s">
        <v>111</v>
      </c>
      <c r="AE570" t="s">
        <v>103</v>
      </c>
      <c r="AF570" t="str">
        <f t="shared" si="71"/>
        <v>Perfect Match</v>
      </c>
    </row>
    <row r="571" spans="1:32">
      <c r="A571" t="str">
        <f>IF(OR(I571&lt;0, ISTEXT(W571), ISTEXT(Y571)), "Invalid", IF(OR(B571="Conflicting Duplicate", M571="Unknown", S571="Unknown"), "Warning", "Valid"))</f>
        <v>Valid</v>
      </c>
      <c r="B571" t="str">
        <f t="shared" si="65"/>
        <v>-</v>
      </c>
      <c r="C571" t="s">
        <v>641</v>
      </c>
      <c r="D571" s="2">
        <v>45734</v>
      </c>
      <c r="E571" t="str">
        <f t="shared" si="66"/>
        <v>March</v>
      </c>
      <c r="F571">
        <f t="shared" si="67"/>
        <v>2025</v>
      </c>
      <c r="G571" s="2">
        <v>45742</v>
      </c>
      <c r="H571" t="s">
        <v>642</v>
      </c>
      <c r="I571">
        <f t="shared" si="68"/>
        <v>8</v>
      </c>
      <c r="J571" t="s">
        <v>2795</v>
      </c>
      <c r="K571" t="s">
        <v>71</v>
      </c>
      <c r="L571" t="s">
        <v>90</v>
      </c>
      <c r="M571" t="s">
        <v>38</v>
      </c>
      <c r="N571" t="s">
        <v>228</v>
      </c>
      <c r="O571" t="s">
        <v>229</v>
      </c>
      <c r="P571" t="s">
        <v>41</v>
      </c>
      <c r="Q571" t="s">
        <v>158</v>
      </c>
      <c r="R571" t="s">
        <v>643</v>
      </c>
      <c r="S571" t="s">
        <v>59</v>
      </c>
      <c r="T571">
        <v>8</v>
      </c>
      <c r="U571">
        <v>3563.09</v>
      </c>
      <c r="V571">
        <v>0.15</v>
      </c>
      <c r="W571">
        <v>0.15</v>
      </c>
      <c r="X571">
        <v>24229.01</v>
      </c>
      <c r="Y571">
        <f t="shared" si="64"/>
        <v>24229.01</v>
      </c>
      <c r="Z571">
        <v>13910.64</v>
      </c>
      <c r="AA571">
        <v>10318.370000000001</v>
      </c>
      <c r="AB571">
        <f t="shared" si="69"/>
        <v>10318.369999999999</v>
      </c>
      <c r="AC571" s="8">
        <f t="shared" si="70"/>
        <v>0.42586841146212739</v>
      </c>
      <c r="AD571" t="s">
        <v>32</v>
      </c>
      <c r="AE571" t="s">
        <v>33</v>
      </c>
      <c r="AF571" t="str">
        <f t="shared" si="71"/>
        <v>Perfect Match</v>
      </c>
    </row>
    <row r="572" spans="1:32">
      <c r="A572" t="str">
        <f>IF(OR(I572&lt;0, ISTEXT(W572), ISTEXT(Y572)), "Invalid", IF(OR(B572="Conflicting Duplicate", M572="Unknown", S572="Unknown"), "Warning", "Valid"))</f>
        <v>Valid</v>
      </c>
      <c r="B572" t="str">
        <f t="shared" si="65"/>
        <v>-</v>
      </c>
      <c r="C572" t="s">
        <v>656</v>
      </c>
      <c r="D572" s="2">
        <v>45909</v>
      </c>
      <c r="E572" t="str">
        <f t="shared" si="66"/>
        <v>September</v>
      </c>
      <c r="F572">
        <f t="shared" si="67"/>
        <v>2025</v>
      </c>
      <c r="G572" s="2">
        <v>45939</v>
      </c>
      <c r="H572" t="s">
        <v>657</v>
      </c>
      <c r="I572">
        <f t="shared" si="68"/>
        <v>30</v>
      </c>
      <c r="J572" t="s">
        <v>2795</v>
      </c>
      <c r="K572" t="s">
        <v>114</v>
      </c>
      <c r="L572" t="s">
        <v>95</v>
      </c>
      <c r="M572" t="s">
        <v>54</v>
      </c>
      <c r="N572" t="s">
        <v>247</v>
      </c>
      <c r="O572" t="s">
        <v>248</v>
      </c>
      <c r="P572" t="s">
        <v>28</v>
      </c>
      <c r="Q572" t="s">
        <v>48</v>
      </c>
      <c r="R572" t="s">
        <v>658</v>
      </c>
      <c r="S572" t="s">
        <v>31</v>
      </c>
      <c r="T572">
        <v>4</v>
      </c>
      <c r="U572">
        <v>2551.4499999999998</v>
      </c>
      <c r="V572">
        <v>0</v>
      </c>
      <c r="W572">
        <v>0</v>
      </c>
      <c r="X572">
        <v>10205.799999999999</v>
      </c>
      <c r="Y572">
        <f t="shared" si="64"/>
        <v>10205.799999999999</v>
      </c>
      <c r="Z572">
        <v>5986.31</v>
      </c>
      <c r="AA572">
        <v>4219.49</v>
      </c>
      <c r="AB572">
        <f t="shared" si="69"/>
        <v>4219.4899999999989</v>
      </c>
      <c r="AC572" s="8">
        <f t="shared" si="70"/>
        <v>0.41344039663720622</v>
      </c>
      <c r="AD572" t="s">
        <v>32</v>
      </c>
      <c r="AE572" t="s">
        <v>33</v>
      </c>
      <c r="AF572" t="str">
        <f t="shared" si="71"/>
        <v>Perfect Match</v>
      </c>
    </row>
    <row r="573" spans="1:32">
      <c r="A573" t="str">
        <f>IF(OR(I573&lt;0, ISTEXT(W573), ISTEXT(Y573)), "Invalid", IF(OR(B573="Conflicting Duplicate", M573="Unknown", S573="Unknown"), "Warning", "Valid"))</f>
        <v>Valid</v>
      </c>
      <c r="B573" t="str">
        <f t="shared" si="65"/>
        <v>-</v>
      </c>
      <c r="C573" t="s">
        <v>662</v>
      </c>
      <c r="D573" s="2">
        <v>45832</v>
      </c>
      <c r="E573" t="str">
        <f t="shared" si="66"/>
        <v>June</v>
      </c>
      <c r="F573">
        <f t="shared" si="67"/>
        <v>2025</v>
      </c>
      <c r="G573" s="2">
        <v>45835</v>
      </c>
      <c r="H573" t="s">
        <v>663</v>
      </c>
      <c r="I573">
        <f t="shared" si="68"/>
        <v>3</v>
      </c>
      <c r="J573" t="s">
        <v>2795</v>
      </c>
      <c r="K573" t="s">
        <v>71</v>
      </c>
      <c r="L573" t="s">
        <v>95</v>
      </c>
      <c r="M573" t="s">
        <v>54</v>
      </c>
      <c r="N573" t="s">
        <v>55</v>
      </c>
      <c r="O573" t="s">
        <v>56</v>
      </c>
      <c r="P573" t="s">
        <v>74</v>
      </c>
      <c r="Q573" t="s">
        <v>80</v>
      </c>
      <c r="R573" t="s">
        <v>664</v>
      </c>
      <c r="S573" t="s">
        <v>59</v>
      </c>
      <c r="T573">
        <v>7</v>
      </c>
      <c r="U573">
        <v>2304.86</v>
      </c>
      <c r="V573">
        <v>0.2</v>
      </c>
      <c r="W573">
        <v>0.2</v>
      </c>
      <c r="X573">
        <v>12907.22</v>
      </c>
      <c r="Y573">
        <f t="shared" si="64"/>
        <v>12907.22</v>
      </c>
      <c r="Z573">
        <v>8327.89</v>
      </c>
      <c r="AA573">
        <v>4579.33</v>
      </c>
      <c r="AB573">
        <f t="shared" si="69"/>
        <v>4579.33</v>
      </c>
      <c r="AC573" s="8">
        <f t="shared" si="70"/>
        <v>0.35478825029712052</v>
      </c>
      <c r="AD573" t="s">
        <v>32</v>
      </c>
      <c r="AE573" t="s">
        <v>103</v>
      </c>
      <c r="AF573" t="str">
        <f t="shared" si="71"/>
        <v>Perfect Match</v>
      </c>
    </row>
    <row r="574" spans="1:32">
      <c r="A574" t="str">
        <f>IF(OR(I574&lt;0, ISTEXT(W574), ISTEXT(Y574)), "Invalid", IF(OR(B574="Conflicting Duplicate", M574="Unknown", S574="Unknown"), "Warning", "Valid"))</f>
        <v>Valid</v>
      </c>
      <c r="B574" t="str">
        <f t="shared" si="65"/>
        <v>-</v>
      </c>
      <c r="C574" t="s">
        <v>673</v>
      </c>
      <c r="D574" s="2">
        <v>45778</v>
      </c>
      <c r="E574" t="str">
        <f t="shared" si="66"/>
        <v>May</v>
      </c>
      <c r="F574">
        <f t="shared" si="67"/>
        <v>2025</v>
      </c>
      <c r="G574" s="2">
        <v>45779</v>
      </c>
      <c r="H574" t="s">
        <v>674</v>
      </c>
      <c r="I574">
        <f t="shared" si="68"/>
        <v>1</v>
      </c>
      <c r="J574" t="s">
        <v>2795</v>
      </c>
      <c r="K574" t="s">
        <v>36</v>
      </c>
      <c r="L574" t="s">
        <v>24</v>
      </c>
      <c r="M574" t="s">
        <v>63</v>
      </c>
      <c r="N574" t="s">
        <v>72</v>
      </c>
      <c r="O574" t="s">
        <v>73</v>
      </c>
      <c r="P574" t="s">
        <v>41</v>
      </c>
      <c r="Q574" t="s">
        <v>66</v>
      </c>
      <c r="R574" t="s">
        <v>675</v>
      </c>
      <c r="S574" t="s">
        <v>44</v>
      </c>
      <c r="T574">
        <v>3</v>
      </c>
      <c r="U574">
        <v>2905.74</v>
      </c>
      <c r="V574">
        <v>0</v>
      </c>
      <c r="W574">
        <v>0</v>
      </c>
      <c r="X574">
        <v>8717.2199999999993</v>
      </c>
      <c r="Y574">
        <f t="shared" si="64"/>
        <v>8717.2199999999993</v>
      </c>
      <c r="Z574">
        <v>6215.96</v>
      </c>
      <c r="AA574">
        <v>2501.2600000000002</v>
      </c>
      <c r="AB574">
        <f t="shared" si="69"/>
        <v>2501.2599999999993</v>
      </c>
      <c r="AC574" s="8">
        <f t="shared" si="70"/>
        <v>0.28693321953558582</v>
      </c>
      <c r="AD574" t="s">
        <v>32</v>
      </c>
      <c r="AE574" t="s">
        <v>103</v>
      </c>
      <c r="AF574" t="str">
        <f t="shared" si="71"/>
        <v>Perfect Match</v>
      </c>
    </row>
    <row r="575" spans="1:32">
      <c r="A575" t="str">
        <f>IF(OR(I575&lt;0, ISTEXT(W575), ISTEXT(Y575)), "Invalid", IF(OR(B575="Conflicting Duplicate", M575="Unknown", S575="Unknown"), "Warning", "Valid"))</f>
        <v>Valid</v>
      </c>
      <c r="B575" t="str">
        <f t="shared" si="65"/>
        <v>-</v>
      </c>
      <c r="C575" t="s">
        <v>676</v>
      </c>
      <c r="D575" s="2">
        <v>45798</v>
      </c>
      <c r="E575" t="str">
        <f t="shared" si="66"/>
        <v>May</v>
      </c>
      <c r="F575">
        <f t="shared" si="67"/>
        <v>2025</v>
      </c>
      <c r="G575" s="2">
        <v>45805</v>
      </c>
      <c r="H575" t="s">
        <v>677</v>
      </c>
      <c r="I575">
        <f t="shared" si="68"/>
        <v>7</v>
      </c>
      <c r="J575" t="s">
        <v>2795</v>
      </c>
      <c r="K575" t="s">
        <v>114</v>
      </c>
      <c r="L575" t="s">
        <v>90</v>
      </c>
      <c r="M575" t="s">
        <v>38</v>
      </c>
      <c r="N575" t="s">
        <v>99</v>
      </c>
      <c r="O575" t="s">
        <v>100</v>
      </c>
      <c r="P575" t="s">
        <v>41</v>
      </c>
      <c r="Q575" t="s">
        <v>158</v>
      </c>
      <c r="R575" t="s">
        <v>678</v>
      </c>
      <c r="S575" t="s">
        <v>44</v>
      </c>
      <c r="T575">
        <v>2</v>
      </c>
      <c r="U575">
        <v>3559.57</v>
      </c>
      <c r="V575">
        <v>0.1</v>
      </c>
      <c r="W575">
        <v>0.1</v>
      </c>
      <c r="X575">
        <v>6553.95</v>
      </c>
      <c r="Y575">
        <f t="shared" si="64"/>
        <v>6407.23</v>
      </c>
      <c r="Z575">
        <v>4923.09</v>
      </c>
      <c r="AA575">
        <v>1484.14</v>
      </c>
      <c r="AB575">
        <f t="shared" si="69"/>
        <v>1484.1399999999994</v>
      </c>
      <c r="AC575" s="8">
        <f t="shared" si="70"/>
        <v>0.23163519961044002</v>
      </c>
      <c r="AD575" t="s">
        <v>32</v>
      </c>
      <c r="AE575" t="s">
        <v>33</v>
      </c>
      <c r="AF575" t="str">
        <f t="shared" si="71"/>
        <v>Mismatch Found</v>
      </c>
    </row>
    <row r="576" spans="1:32">
      <c r="A576" s="6" t="str">
        <f>IF(OR(I576&lt;0, ISTEXT(W576), ISTEXT(Y576)), "Invalid", IF(OR(B576="Conflicting Duplicate", M576="Unknown", S576="Unknown"), "Warning", "Valid"))</f>
        <v>Invalid</v>
      </c>
      <c r="B576" t="str">
        <f t="shared" si="65"/>
        <v>-</v>
      </c>
      <c r="C576" t="s">
        <v>679</v>
      </c>
      <c r="D576" s="2">
        <v>45783</v>
      </c>
      <c r="E576" t="str">
        <f t="shared" si="66"/>
        <v>May</v>
      </c>
      <c r="F576">
        <f t="shared" si="67"/>
        <v>2025</v>
      </c>
      <c r="G576" s="2">
        <v>45784</v>
      </c>
      <c r="H576" t="s">
        <v>680</v>
      </c>
      <c r="I576">
        <f t="shared" si="68"/>
        <v>1</v>
      </c>
      <c r="J576" t="s">
        <v>2795</v>
      </c>
      <c r="K576" t="s">
        <v>53</v>
      </c>
      <c r="L576" t="s">
        <v>24</v>
      </c>
      <c r="M576" t="s">
        <v>63</v>
      </c>
      <c r="N576" t="s">
        <v>26</v>
      </c>
      <c r="O576" t="s">
        <v>109</v>
      </c>
      <c r="P576" t="s">
        <v>41</v>
      </c>
      <c r="Q576" t="s">
        <v>158</v>
      </c>
      <c r="R576" t="s">
        <v>681</v>
      </c>
      <c r="S576" t="s">
        <v>50</v>
      </c>
      <c r="T576">
        <v>9</v>
      </c>
      <c r="U576">
        <v>3318.24</v>
      </c>
      <c r="V576" s="4" t="str">
        <f>IF(ROUND(T558*U558, 2)=ROUND(X558, 2), 0, "Flag - Missing Value")</f>
        <v>Flag - Missing Value</v>
      </c>
      <c r="W576" s="4" t="s">
        <v>2794</v>
      </c>
      <c r="X576">
        <v>25384.54</v>
      </c>
      <c r="Y576" s="4" t="str">
        <f t="shared" si="64"/>
        <v>Cannot Calculate</v>
      </c>
      <c r="Z576">
        <v>16872.39</v>
      </c>
      <c r="AA576">
        <v>8512.15</v>
      </c>
      <c r="AB576" s="4" t="str">
        <f t="shared" si="69"/>
        <v>Cannot Calculate</v>
      </c>
      <c r="AC576" s="9">
        <f t="shared" si="70"/>
        <v>0</v>
      </c>
      <c r="AD576" t="s">
        <v>32</v>
      </c>
      <c r="AE576" t="s">
        <v>682</v>
      </c>
      <c r="AF576" t="str">
        <f t="shared" si="71"/>
        <v>Calculation Blocked</v>
      </c>
    </row>
    <row r="577" spans="1:32">
      <c r="A577" t="str">
        <f>IF(OR(I577&lt;0, ISTEXT(W577), ISTEXT(Y577)), "Invalid", IF(OR(B577="Conflicting Duplicate", M577="Unknown", S577="Unknown"), "Warning", "Valid"))</f>
        <v>Valid</v>
      </c>
      <c r="B577" t="str">
        <f t="shared" si="65"/>
        <v>-</v>
      </c>
      <c r="C577" t="s">
        <v>683</v>
      </c>
      <c r="D577" s="2">
        <v>45767</v>
      </c>
      <c r="E577" t="str">
        <f t="shared" si="66"/>
        <v>April</v>
      </c>
      <c r="F577">
        <f t="shared" si="67"/>
        <v>2025</v>
      </c>
      <c r="G577" s="2">
        <v>45768</v>
      </c>
      <c r="H577" t="s">
        <v>684</v>
      </c>
      <c r="I577">
        <f t="shared" si="68"/>
        <v>1</v>
      </c>
      <c r="J577" t="s">
        <v>2795</v>
      </c>
      <c r="K577" t="s">
        <v>89</v>
      </c>
      <c r="L577" t="s">
        <v>24</v>
      </c>
      <c r="M577" t="s">
        <v>54</v>
      </c>
      <c r="N577" t="s">
        <v>247</v>
      </c>
      <c r="O577" t="s">
        <v>248</v>
      </c>
      <c r="P577" t="s">
        <v>28</v>
      </c>
      <c r="Q577" t="s">
        <v>124</v>
      </c>
      <c r="R577" t="s">
        <v>685</v>
      </c>
      <c r="S577" t="s">
        <v>50</v>
      </c>
      <c r="T577">
        <v>3</v>
      </c>
      <c r="U577">
        <v>540.09</v>
      </c>
      <c r="V577">
        <v>0.1</v>
      </c>
      <c r="W577">
        <v>0.1</v>
      </c>
      <c r="X577">
        <v>1458.24</v>
      </c>
      <c r="Y577">
        <f t="shared" si="64"/>
        <v>1458.24</v>
      </c>
      <c r="Z577">
        <v>943.32</v>
      </c>
      <c r="AA577">
        <v>514.91999999999996</v>
      </c>
      <c r="AB577">
        <f t="shared" si="69"/>
        <v>514.91999999999996</v>
      </c>
      <c r="AC577" s="8">
        <f t="shared" si="70"/>
        <v>0.35311059907834097</v>
      </c>
      <c r="AD577" t="s">
        <v>32</v>
      </c>
      <c r="AE577" t="s">
        <v>33</v>
      </c>
      <c r="AF577" t="str">
        <f t="shared" si="71"/>
        <v>Perfect Match</v>
      </c>
    </row>
    <row r="578" spans="1:32">
      <c r="A578" t="str">
        <f>IF(OR(I578&lt;0, ISTEXT(W578), ISTEXT(Y578)), "Invalid", IF(OR(B578="Conflicting Duplicate", M578="Unknown", S578="Unknown"), "Warning", "Valid"))</f>
        <v>Valid</v>
      </c>
      <c r="B578" t="str">
        <f t="shared" si="65"/>
        <v>-</v>
      </c>
      <c r="C578" t="s">
        <v>695</v>
      </c>
      <c r="D578" s="2">
        <v>45685</v>
      </c>
      <c r="E578" t="str">
        <f t="shared" si="66"/>
        <v>January</v>
      </c>
      <c r="F578">
        <f t="shared" si="67"/>
        <v>2025</v>
      </c>
      <c r="G578" s="2">
        <v>45688</v>
      </c>
      <c r="H578" t="s">
        <v>696</v>
      </c>
      <c r="I578">
        <f t="shared" si="68"/>
        <v>3</v>
      </c>
      <c r="J578" t="s">
        <v>2795</v>
      </c>
      <c r="K578" t="s">
        <v>114</v>
      </c>
      <c r="L578" t="s">
        <v>24</v>
      </c>
      <c r="M578" t="s">
        <v>697</v>
      </c>
      <c r="N578" t="s">
        <v>64</v>
      </c>
      <c r="O578" t="s">
        <v>65</v>
      </c>
      <c r="P578" t="s">
        <v>41</v>
      </c>
      <c r="Q578" t="s">
        <v>57</v>
      </c>
      <c r="R578" t="s">
        <v>698</v>
      </c>
      <c r="S578" t="s">
        <v>50</v>
      </c>
      <c r="T578">
        <v>9</v>
      </c>
      <c r="U578">
        <v>858.39</v>
      </c>
      <c r="V578">
        <v>0.05</v>
      </c>
      <c r="W578">
        <v>0.05</v>
      </c>
      <c r="X578">
        <v>7339.23</v>
      </c>
      <c r="Y578">
        <f t="shared" ref="Y578:Y641" si="72">IF(ISTEXT(W578), "Cannot Calculate", ROUND(T578 * U578 * (1 - W578), 2))</f>
        <v>7339.23</v>
      </c>
      <c r="Z578">
        <v>5434.12</v>
      </c>
      <c r="AA578">
        <v>1905.11</v>
      </c>
      <c r="AB578">
        <f t="shared" si="69"/>
        <v>1905.1099999999997</v>
      </c>
      <c r="AC578" s="8">
        <f t="shared" si="70"/>
        <v>0.25957900215690199</v>
      </c>
      <c r="AD578" t="s">
        <v>111</v>
      </c>
      <c r="AE578" t="s">
        <v>103</v>
      </c>
      <c r="AF578" t="str">
        <f t="shared" si="71"/>
        <v>Perfect Match</v>
      </c>
    </row>
    <row r="579" spans="1:32">
      <c r="A579" t="str">
        <f>IF(OR(I579&lt;0, ISTEXT(W579), ISTEXT(Y579)), "Invalid", IF(OR(B579="Conflicting Duplicate", M579="Unknown", S579="Unknown"), "Warning", "Valid"))</f>
        <v>Valid</v>
      </c>
      <c r="B579" t="str">
        <f t="shared" ref="B579:B642" si="73">IF(COUNTIF(C:C, C579)&gt;1, "Conflicting Duplicate", "-")</f>
        <v>-</v>
      </c>
      <c r="C579" t="s">
        <v>699</v>
      </c>
      <c r="D579" s="2">
        <v>45860</v>
      </c>
      <c r="E579" t="str">
        <f t="shared" ref="E579:E642" si="74">TEXT(D579, "mmmm")</f>
        <v>July</v>
      </c>
      <c r="F579">
        <f t="shared" ref="F579:F642" si="75">YEAR(D579)</f>
        <v>2025</v>
      </c>
      <c r="G579" s="2">
        <v>45862</v>
      </c>
      <c r="H579" t="s">
        <v>700</v>
      </c>
      <c r="I579">
        <f t="shared" ref="I579:I642" si="76">G579-D579</f>
        <v>2</v>
      </c>
      <c r="J579" t="s">
        <v>2795</v>
      </c>
      <c r="K579" t="s">
        <v>79</v>
      </c>
      <c r="L579" t="s">
        <v>95</v>
      </c>
      <c r="M579" t="s">
        <v>54</v>
      </c>
      <c r="N579" t="s">
        <v>84</v>
      </c>
      <c r="O579" t="s">
        <v>85</v>
      </c>
      <c r="P579" t="s">
        <v>41</v>
      </c>
      <c r="Q579" t="s">
        <v>57</v>
      </c>
      <c r="R579" t="s">
        <v>701</v>
      </c>
      <c r="S579" t="s">
        <v>44</v>
      </c>
      <c r="T579">
        <v>5</v>
      </c>
      <c r="U579">
        <v>1922.83</v>
      </c>
      <c r="V579">
        <v>0</v>
      </c>
      <c r="W579">
        <v>0</v>
      </c>
      <c r="X579">
        <v>9614.15</v>
      </c>
      <c r="Y579">
        <f t="shared" si="72"/>
        <v>9614.15</v>
      </c>
      <c r="Z579">
        <v>7576.84</v>
      </c>
      <c r="AA579">
        <v>2037.31</v>
      </c>
      <c r="AB579">
        <f t="shared" ref="AB579:AB642" si="77">IF(ISTEXT(Y579), "Cannot Calculate", Y579 - Z579)</f>
        <v>2037.3099999999995</v>
      </c>
      <c r="AC579" s="8">
        <f t="shared" ref="AC579:AC642" si="78">IFERROR(AB579 / Y579, 0)</f>
        <v>0.21190744891644084</v>
      </c>
      <c r="AD579" t="s">
        <v>32</v>
      </c>
      <c r="AE579" t="s">
        <v>33</v>
      </c>
      <c r="AF579" t="str">
        <f t="shared" ref="AF579:AF642" si="79">IF(OR(ISTEXT(Z579), ISTEXT(AB579)), "Calculation Blocked", IF(OR(ROUND(X579, 2) &lt;&gt; ROUND(Y579, 2), ROUND(AA579, 2) &lt;&gt; ROUND(AB579, 2)), "Mismatch Found", "Perfect Match"))</f>
        <v>Perfect Match</v>
      </c>
    </row>
    <row r="580" spans="1:32">
      <c r="A580" t="str">
        <f>IF(OR(I580&lt;0, ISTEXT(W580), ISTEXT(Y580)), "Invalid", IF(OR(B580="Conflicting Duplicate", M580="Unknown", S580="Unknown"), "Warning", "Valid"))</f>
        <v>Valid</v>
      </c>
      <c r="B580" t="str">
        <f t="shared" si="73"/>
        <v>-</v>
      </c>
      <c r="C580" t="s">
        <v>705</v>
      </c>
      <c r="D580" s="2">
        <v>45747</v>
      </c>
      <c r="E580" t="str">
        <f t="shared" si="74"/>
        <v>March</v>
      </c>
      <c r="F580">
        <f t="shared" si="75"/>
        <v>2025</v>
      </c>
      <c r="G580" s="2">
        <v>45842</v>
      </c>
      <c r="H580" t="s">
        <v>390</v>
      </c>
      <c r="I580">
        <f t="shared" si="76"/>
        <v>95</v>
      </c>
      <c r="J580" t="s">
        <v>2795</v>
      </c>
      <c r="K580" t="s">
        <v>118</v>
      </c>
      <c r="L580" t="s">
        <v>474</v>
      </c>
      <c r="M580" t="s">
        <v>38</v>
      </c>
      <c r="N580" t="s">
        <v>145</v>
      </c>
      <c r="O580" t="s">
        <v>146</v>
      </c>
      <c r="P580" t="s">
        <v>28</v>
      </c>
      <c r="Q580" t="s">
        <v>124</v>
      </c>
      <c r="R580" t="s">
        <v>706</v>
      </c>
      <c r="S580" t="s">
        <v>31</v>
      </c>
      <c r="T580">
        <v>5</v>
      </c>
      <c r="U580">
        <v>4096.4399999999996</v>
      </c>
      <c r="V580">
        <v>0.15</v>
      </c>
      <c r="W580">
        <v>0.15</v>
      </c>
      <c r="X580">
        <v>17409.87</v>
      </c>
      <c r="Y580">
        <f t="shared" si="72"/>
        <v>17409.87</v>
      </c>
      <c r="Z580">
        <v>14076.25</v>
      </c>
      <c r="AA580">
        <v>3333.62</v>
      </c>
      <c r="AB580">
        <f t="shared" si="77"/>
        <v>3333.619999999999</v>
      </c>
      <c r="AC580" s="8">
        <f t="shared" si="78"/>
        <v>0.19147874165631329</v>
      </c>
      <c r="AD580" t="s">
        <v>32</v>
      </c>
      <c r="AE580" t="s">
        <v>33</v>
      </c>
      <c r="AF580" t="str">
        <f t="shared" si="79"/>
        <v>Perfect Match</v>
      </c>
    </row>
    <row r="581" spans="1:32">
      <c r="A581" t="str">
        <f>IF(OR(I581&lt;0, ISTEXT(W581), ISTEXT(Y581)), "Invalid", IF(OR(B581="Conflicting Duplicate", M581="Unknown", S581="Unknown"), "Warning", "Valid"))</f>
        <v>Valid</v>
      </c>
      <c r="B581" t="str">
        <f t="shared" si="73"/>
        <v>-</v>
      </c>
      <c r="C581" t="s">
        <v>713</v>
      </c>
      <c r="D581" s="2">
        <v>45835</v>
      </c>
      <c r="E581" t="str">
        <f t="shared" si="74"/>
        <v>June</v>
      </c>
      <c r="F581">
        <f t="shared" si="75"/>
        <v>2025</v>
      </c>
      <c r="G581" s="2">
        <v>45843</v>
      </c>
      <c r="H581" t="s">
        <v>714</v>
      </c>
      <c r="I581">
        <f t="shared" si="76"/>
        <v>8</v>
      </c>
      <c r="J581" t="s">
        <v>2795</v>
      </c>
      <c r="K581" t="s">
        <v>114</v>
      </c>
      <c r="L581" t="s">
        <v>37</v>
      </c>
      <c r="M581" t="s">
        <v>25</v>
      </c>
      <c r="N581" t="s">
        <v>26</v>
      </c>
      <c r="O581" t="s">
        <v>27</v>
      </c>
      <c r="P581" t="s">
        <v>74</v>
      </c>
      <c r="Q581" t="s">
        <v>80</v>
      </c>
      <c r="R581" t="s">
        <v>715</v>
      </c>
      <c r="S581" t="s">
        <v>50</v>
      </c>
      <c r="T581">
        <v>5</v>
      </c>
      <c r="U581">
        <v>2868.44</v>
      </c>
      <c r="V581">
        <v>0.1</v>
      </c>
      <c r="W581">
        <v>0.1</v>
      </c>
      <c r="X581">
        <v>12907.98</v>
      </c>
      <c r="Y581">
        <f t="shared" si="72"/>
        <v>12907.98</v>
      </c>
      <c r="Z581">
        <v>9197.08</v>
      </c>
      <c r="AA581">
        <v>3710.9</v>
      </c>
      <c r="AB581">
        <f t="shared" si="77"/>
        <v>3710.8999999999996</v>
      </c>
      <c r="AC581" s="8">
        <f t="shared" si="78"/>
        <v>0.28748882474252357</v>
      </c>
      <c r="AD581" t="s">
        <v>111</v>
      </c>
      <c r="AE581" t="s">
        <v>68</v>
      </c>
      <c r="AF581" t="str">
        <f t="shared" si="79"/>
        <v>Perfect Match</v>
      </c>
    </row>
    <row r="582" spans="1:32">
      <c r="A582" s="6" t="str">
        <f>IF(OR(I582&lt;0, ISTEXT(W582), ISTEXT(Y582)), "Invalid", IF(OR(B582="Conflicting Duplicate", M582="Unknown", S582="Unknown"), "Warning", "Valid"))</f>
        <v>Invalid</v>
      </c>
      <c r="B582" t="str">
        <f t="shared" si="73"/>
        <v>-</v>
      </c>
      <c r="C582" t="s">
        <v>716</v>
      </c>
      <c r="D582" s="2">
        <v>45864</v>
      </c>
      <c r="E582" t="str">
        <f t="shared" si="74"/>
        <v>July</v>
      </c>
      <c r="F582">
        <f t="shared" si="75"/>
        <v>2025</v>
      </c>
      <c r="G582" s="2">
        <v>45872</v>
      </c>
      <c r="H582" t="s">
        <v>717</v>
      </c>
      <c r="I582">
        <f t="shared" si="76"/>
        <v>8</v>
      </c>
      <c r="J582" t="s">
        <v>2795</v>
      </c>
      <c r="K582" t="s">
        <v>71</v>
      </c>
      <c r="L582" t="s">
        <v>24</v>
      </c>
      <c r="M582" t="s">
        <v>63</v>
      </c>
      <c r="N582" t="s">
        <v>72</v>
      </c>
      <c r="O582" t="s">
        <v>73</v>
      </c>
      <c r="P582" t="s">
        <v>28</v>
      </c>
      <c r="Q582" t="s">
        <v>91</v>
      </c>
      <c r="R582" t="s">
        <v>718</v>
      </c>
      <c r="S582" t="s">
        <v>31</v>
      </c>
      <c r="T582">
        <v>2</v>
      </c>
      <c r="U582">
        <v>2503.5300000000002</v>
      </c>
      <c r="V582">
        <v>-0.16</v>
      </c>
      <c r="W582" s="4" t="s">
        <v>2794</v>
      </c>
      <c r="X582">
        <v>4756.71</v>
      </c>
      <c r="Y582" s="4" t="str">
        <f t="shared" si="72"/>
        <v>Cannot Calculate</v>
      </c>
      <c r="Z582">
        <v>2954.86</v>
      </c>
      <c r="AA582">
        <v>1801.85</v>
      </c>
      <c r="AB582" s="4" t="str">
        <f t="shared" si="77"/>
        <v>Cannot Calculate</v>
      </c>
      <c r="AC582" s="9">
        <f t="shared" si="78"/>
        <v>0</v>
      </c>
      <c r="AD582" t="s">
        <v>102</v>
      </c>
      <c r="AE582" t="s">
        <v>68</v>
      </c>
      <c r="AF582" t="str">
        <f t="shared" si="79"/>
        <v>Calculation Blocked</v>
      </c>
    </row>
    <row r="583" spans="1:32">
      <c r="A583" t="str">
        <f>IF(OR(I583&lt;0, ISTEXT(W583), ISTEXT(Y583)), "Invalid", IF(OR(B583="Conflicting Duplicate", M583="Unknown", S583="Unknown"), "Warning", "Valid"))</f>
        <v>Valid</v>
      </c>
      <c r="B583" t="str">
        <f t="shared" si="73"/>
        <v>-</v>
      </c>
      <c r="C583" t="s">
        <v>719</v>
      </c>
      <c r="D583" s="2">
        <v>45744</v>
      </c>
      <c r="E583" t="str">
        <f t="shared" si="74"/>
        <v>March</v>
      </c>
      <c r="F583">
        <f t="shared" si="75"/>
        <v>2025</v>
      </c>
      <c r="G583" s="2">
        <v>45744</v>
      </c>
      <c r="H583" t="s">
        <v>720</v>
      </c>
      <c r="I583">
        <f t="shared" si="76"/>
        <v>0</v>
      </c>
      <c r="J583" t="s">
        <v>2795</v>
      </c>
      <c r="K583" t="s">
        <v>132</v>
      </c>
      <c r="L583" t="s">
        <v>90</v>
      </c>
      <c r="M583" t="s">
        <v>63</v>
      </c>
      <c r="N583" t="s">
        <v>190</v>
      </c>
      <c r="O583" t="s">
        <v>191</v>
      </c>
      <c r="P583" t="s">
        <v>74</v>
      </c>
      <c r="Q583" t="s">
        <v>75</v>
      </c>
      <c r="R583" t="s">
        <v>721</v>
      </c>
      <c r="S583" t="s">
        <v>59</v>
      </c>
      <c r="T583">
        <v>8</v>
      </c>
      <c r="U583">
        <v>1740.94</v>
      </c>
      <c r="V583">
        <v>0.05</v>
      </c>
      <c r="W583">
        <v>0.05</v>
      </c>
      <c r="X583">
        <v>13231.14</v>
      </c>
      <c r="Y583">
        <f t="shared" si="72"/>
        <v>13231.14</v>
      </c>
      <c r="Z583">
        <v>11290.06</v>
      </c>
      <c r="AA583">
        <v>1941.08</v>
      </c>
      <c r="AB583">
        <f t="shared" si="77"/>
        <v>1941.08</v>
      </c>
      <c r="AC583" s="8">
        <f t="shared" si="78"/>
        <v>0.14670542372010273</v>
      </c>
      <c r="AD583" t="s">
        <v>32</v>
      </c>
      <c r="AE583" t="s">
        <v>33</v>
      </c>
      <c r="AF583" t="str">
        <f t="shared" si="79"/>
        <v>Perfect Match</v>
      </c>
    </row>
    <row r="584" spans="1:32">
      <c r="A584" t="str">
        <f>IF(OR(I584&lt;0, ISTEXT(W584), ISTEXT(Y584)), "Invalid", IF(OR(B584="Conflicting Duplicate", M584="Unknown", S584="Unknown"), "Warning", "Valid"))</f>
        <v>Valid</v>
      </c>
      <c r="B584" t="str">
        <f t="shared" si="73"/>
        <v>-</v>
      </c>
      <c r="C584" t="s">
        <v>725</v>
      </c>
      <c r="D584" s="2">
        <v>45858</v>
      </c>
      <c r="E584" t="str">
        <f t="shared" si="74"/>
        <v>July</v>
      </c>
      <c r="F584">
        <f t="shared" si="75"/>
        <v>2025</v>
      </c>
      <c r="G584" s="2">
        <v>45861</v>
      </c>
      <c r="H584" t="s">
        <v>726</v>
      </c>
      <c r="I584">
        <f t="shared" si="76"/>
        <v>3</v>
      </c>
      <c r="J584" t="s">
        <v>2795</v>
      </c>
      <c r="K584" t="s">
        <v>36</v>
      </c>
      <c r="L584" t="s">
        <v>95</v>
      </c>
      <c r="M584" t="s">
        <v>38</v>
      </c>
      <c r="N584" t="s">
        <v>99</v>
      </c>
      <c r="O584" t="s">
        <v>100</v>
      </c>
      <c r="P584" t="s">
        <v>41</v>
      </c>
      <c r="Q584" t="s">
        <v>42</v>
      </c>
      <c r="R584" t="s">
        <v>727</v>
      </c>
      <c r="S584" t="s">
        <v>31</v>
      </c>
      <c r="T584">
        <v>4</v>
      </c>
      <c r="U584">
        <v>477.69</v>
      </c>
      <c r="V584">
        <v>0.15</v>
      </c>
      <c r="W584">
        <v>0.15</v>
      </c>
      <c r="X584">
        <v>1624.15</v>
      </c>
      <c r="Y584">
        <f t="shared" si="72"/>
        <v>1624.15</v>
      </c>
      <c r="Z584">
        <v>1217.99</v>
      </c>
      <c r="AA584">
        <v>406.16</v>
      </c>
      <c r="AB584">
        <f t="shared" si="77"/>
        <v>406.16000000000008</v>
      </c>
      <c r="AC584" s="8">
        <f t="shared" si="78"/>
        <v>0.25007542406797406</v>
      </c>
      <c r="AD584" t="s">
        <v>32</v>
      </c>
      <c r="AE584" t="s">
        <v>33</v>
      </c>
      <c r="AF584" t="str">
        <f t="shared" si="79"/>
        <v>Perfect Match</v>
      </c>
    </row>
    <row r="585" spans="1:32">
      <c r="A585" t="str">
        <f>IF(OR(I585&lt;0, ISTEXT(W585), ISTEXT(Y585)), "Invalid", IF(OR(B585="Conflicting Duplicate", M585="Unknown", S585="Unknown"), "Warning", "Valid"))</f>
        <v>Valid</v>
      </c>
      <c r="B585" t="str">
        <f t="shared" si="73"/>
        <v>-</v>
      </c>
      <c r="C585" t="s">
        <v>728</v>
      </c>
      <c r="D585" s="2">
        <v>45768</v>
      </c>
      <c r="E585" t="str">
        <f t="shared" si="74"/>
        <v>April</v>
      </c>
      <c r="F585">
        <f t="shared" si="75"/>
        <v>2025</v>
      </c>
      <c r="G585" s="2">
        <v>45773</v>
      </c>
      <c r="H585" t="s">
        <v>729</v>
      </c>
      <c r="I585">
        <f t="shared" si="76"/>
        <v>5</v>
      </c>
      <c r="J585" t="s">
        <v>2795</v>
      </c>
      <c r="K585" t="s">
        <v>62</v>
      </c>
      <c r="L585" t="s">
        <v>24</v>
      </c>
      <c r="M585" t="s">
        <v>63</v>
      </c>
      <c r="N585" t="s">
        <v>64</v>
      </c>
      <c r="O585" t="s">
        <v>65</v>
      </c>
      <c r="P585" t="s">
        <v>612</v>
      </c>
      <c r="Q585" t="s">
        <v>91</v>
      </c>
      <c r="R585" t="s">
        <v>730</v>
      </c>
      <c r="S585" t="s">
        <v>44</v>
      </c>
      <c r="T585">
        <v>6</v>
      </c>
      <c r="U585">
        <v>873.59</v>
      </c>
      <c r="V585">
        <v>0.2</v>
      </c>
      <c r="W585">
        <v>0.2</v>
      </c>
      <c r="X585">
        <v>4193.2299999999996</v>
      </c>
      <c r="Y585">
        <f t="shared" si="72"/>
        <v>4193.2299999999996</v>
      </c>
      <c r="Z585">
        <v>3329.99</v>
      </c>
      <c r="AA585">
        <v>863.24</v>
      </c>
      <c r="AB585">
        <f t="shared" si="77"/>
        <v>863.23999999999978</v>
      </c>
      <c r="AC585" s="8">
        <f t="shared" si="78"/>
        <v>0.20586516837855301</v>
      </c>
      <c r="AD585" t="s">
        <v>32</v>
      </c>
      <c r="AE585" t="s">
        <v>33</v>
      </c>
      <c r="AF585" t="str">
        <f t="shared" si="79"/>
        <v>Perfect Match</v>
      </c>
    </row>
    <row r="586" spans="1:32">
      <c r="A586" t="str">
        <f>IF(OR(I586&lt;0, ISTEXT(W586), ISTEXT(Y586)), "Invalid", IF(OR(B586="Conflicting Duplicate", M586="Unknown", S586="Unknown"), "Warning", "Valid"))</f>
        <v>Valid</v>
      </c>
      <c r="B586" t="str">
        <f t="shared" si="73"/>
        <v>-</v>
      </c>
      <c r="C586" t="s">
        <v>731</v>
      </c>
      <c r="D586" s="2">
        <v>45795</v>
      </c>
      <c r="E586" t="str">
        <f t="shared" si="74"/>
        <v>May</v>
      </c>
      <c r="F586">
        <f t="shared" si="75"/>
        <v>2025</v>
      </c>
      <c r="G586" s="2">
        <v>45797</v>
      </c>
      <c r="H586" t="s">
        <v>732</v>
      </c>
      <c r="I586">
        <f t="shared" si="76"/>
        <v>2</v>
      </c>
      <c r="J586" t="s">
        <v>2795</v>
      </c>
      <c r="K586" t="s">
        <v>162</v>
      </c>
      <c r="L586" t="s">
        <v>37</v>
      </c>
      <c r="M586" t="s">
        <v>25</v>
      </c>
      <c r="N586" t="s">
        <v>136</v>
      </c>
      <c r="O586" t="s">
        <v>137</v>
      </c>
      <c r="P586" t="s">
        <v>41</v>
      </c>
      <c r="Q586" t="s">
        <v>57</v>
      </c>
      <c r="R586" t="s">
        <v>733</v>
      </c>
      <c r="S586" t="s">
        <v>50</v>
      </c>
      <c r="T586">
        <v>2</v>
      </c>
      <c r="U586">
        <v>215.13</v>
      </c>
      <c r="V586">
        <v>0</v>
      </c>
      <c r="W586">
        <v>0</v>
      </c>
      <c r="X586">
        <v>430.26</v>
      </c>
      <c r="Y586">
        <f t="shared" si="72"/>
        <v>430.26</v>
      </c>
      <c r="Z586">
        <v>286.38</v>
      </c>
      <c r="AA586">
        <v>143.88</v>
      </c>
      <c r="AB586">
        <f t="shared" si="77"/>
        <v>143.88</v>
      </c>
      <c r="AC586" s="8">
        <f t="shared" si="78"/>
        <v>0.33440245432994004</v>
      </c>
      <c r="AD586" t="s">
        <v>32</v>
      </c>
      <c r="AE586" t="s">
        <v>33</v>
      </c>
      <c r="AF586" t="str">
        <f t="shared" si="79"/>
        <v>Perfect Match</v>
      </c>
    </row>
    <row r="587" spans="1:32">
      <c r="A587" s="6" t="str">
        <f>IF(OR(I587&lt;0, ISTEXT(W587), ISTEXT(Y587)), "Invalid", IF(OR(B587="Conflicting Duplicate", M587="Unknown", S587="Unknown"), "Warning", "Valid"))</f>
        <v>Invalid</v>
      </c>
      <c r="B587" t="str">
        <f t="shared" si="73"/>
        <v>-</v>
      </c>
      <c r="C587" t="s">
        <v>737</v>
      </c>
      <c r="D587" s="2">
        <v>45837</v>
      </c>
      <c r="E587" t="str">
        <f t="shared" si="74"/>
        <v>June</v>
      </c>
      <c r="F587">
        <f t="shared" si="75"/>
        <v>2025</v>
      </c>
      <c r="G587" s="2">
        <v>45784</v>
      </c>
      <c r="H587" t="s">
        <v>738</v>
      </c>
      <c r="I587" s="7">
        <f t="shared" si="76"/>
        <v>-53</v>
      </c>
      <c r="J587" s="7" t="s">
        <v>2802</v>
      </c>
      <c r="K587" t="s">
        <v>162</v>
      </c>
      <c r="L587" t="s">
        <v>24</v>
      </c>
      <c r="M587" t="s">
        <v>25</v>
      </c>
      <c r="N587" t="s">
        <v>122</v>
      </c>
      <c r="O587" t="s">
        <v>123</v>
      </c>
      <c r="P587" t="s">
        <v>41</v>
      </c>
      <c r="Q587" t="s">
        <v>66</v>
      </c>
      <c r="R587" t="s">
        <v>739</v>
      </c>
      <c r="S587" t="s">
        <v>44</v>
      </c>
      <c r="T587">
        <v>1</v>
      </c>
      <c r="U587">
        <v>999.83</v>
      </c>
      <c r="V587">
        <v>0</v>
      </c>
      <c r="W587">
        <v>0</v>
      </c>
      <c r="X587">
        <v>999.83</v>
      </c>
      <c r="Y587">
        <f t="shared" si="72"/>
        <v>999.83</v>
      </c>
      <c r="Z587">
        <v>634.91</v>
      </c>
      <c r="AA587">
        <v>364.92</v>
      </c>
      <c r="AB587">
        <f t="shared" si="77"/>
        <v>364.92000000000007</v>
      </c>
      <c r="AC587" s="8">
        <f t="shared" si="78"/>
        <v>0.3649820469479812</v>
      </c>
      <c r="AD587" t="s">
        <v>32</v>
      </c>
      <c r="AE587" t="s">
        <v>33</v>
      </c>
      <c r="AF587" t="str">
        <f t="shared" si="79"/>
        <v>Perfect Match</v>
      </c>
    </row>
    <row r="588" spans="1:32">
      <c r="A588" t="str">
        <f>IF(OR(I588&lt;0, ISTEXT(W588), ISTEXT(Y588)), "Invalid", IF(OR(B588="Conflicting Duplicate", M588="Unknown", S588="Unknown"), "Warning", "Valid"))</f>
        <v>Valid</v>
      </c>
      <c r="B588" t="str">
        <f t="shared" si="73"/>
        <v>-</v>
      </c>
      <c r="C588" t="s">
        <v>740</v>
      </c>
      <c r="D588" s="2">
        <v>45882</v>
      </c>
      <c r="E588" t="str">
        <f t="shared" si="74"/>
        <v>August</v>
      </c>
      <c r="F588">
        <f t="shared" si="75"/>
        <v>2025</v>
      </c>
      <c r="G588" s="2">
        <v>45883</v>
      </c>
      <c r="H588" t="s">
        <v>741</v>
      </c>
      <c r="I588">
        <f t="shared" si="76"/>
        <v>1</v>
      </c>
      <c r="J588" t="s">
        <v>2795</v>
      </c>
      <c r="K588" t="s">
        <v>141</v>
      </c>
      <c r="L588" t="s">
        <v>37</v>
      </c>
      <c r="M588" t="s">
        <v>54</v>
      </c>
      <c r="N588" t="s">
        <v>84</v>
      </c>
      <c r="O588" t="s">
        <v>85</v>
      </c>
      <c r="P588" t="s">
        <v>28</v>
      </c>
      <c r="Q588" t="s">
        <v>29</v>
      </c>
      <c r="R588" t="s">
        <v>742</v>
      </c>
      <c r="S588" t="s">
        <v>50</v>
      </c>
      <c r="T588">
        <v>9</v>
      </c>
      <c r="U588">
        <v>864.98</v>
      </c>
      <c r="V588">
        <v>0.1</v>
      </c>
      <c r="W588">
        <v>0.1</v>
      </c>
      <c r="X588">
        <v>7006.34</v>
      </c>
      <c r="Y588">
        <f t="shared" si="72"/>
        <v>7006.34</v>
      </c>
      <c r="Z588">
        <v>4640.88</v>
      </c>
      <c r="AA588">
        <v>2365.46</v>
      </c>
      <c r="AB588">
        <f t="shared" si="77"/>
        <v>2365.46</v>
      </c>
      <c r="AC588" s="8">
        <f t="shared" si="78"/>
        <v>0.33761707253715922</v>
      </c>
      <c r="AD588" t="s">
        <v>32</v>
      </c>
      <c r="AE588" t="s">
        <v>33</v>
      </c>
      <c r="AF588" t="str">
        <f t="shared" si="79"/>
        <v>Perfect Match</v>
      </c>
    </row>
    <row r="589" spans="1:32">
      <c r="A589" t="str">
        <f>IF(OR(I589&lt;0, ISTEXT(W589), ISTEXT(Y589)), "Invalid", IF(OR(B589="Conflicting Duplicate", M589="Unknown", S589="Unknown"), "Warning", "Valid"))</f>
        <v>Valid</v>
      </c>
      <c r="B589" t="str">
        <f t="shared" si="73"/>
        <v>-</v>
      </c>
      <c r="C589" t="s">
        <v>762</v>
      </c>
      <c r="D589" s="2">
        <v>45757</v>
      </c>
      <c r="E589" t="str">
        <f t="shared" si="74"/>
        <v>April</v>
      </c>
      <c r="F589">
        <f t="shared" si="75"/>
        <v>2025</v>
      </c>
      <c r="G589" s="2">
        <v>45762</v>
      </c>
      <c r="H589" t="s">
        <v>763</v>
      </c>
      <c r="I589">
        <f t="shared" si="76"/>
        <v>5</v>
      </c>
      <c r="J589" t="s">
        <v>2795</v>
      </c>
      <c r="K589" t="s">
        <v>47</v>
      </c>
      <c r="L589" t="s">
        <v>24</v>
      </c>
      <c r="M589" t="s">
        <v>63</v>
      </c>
      <c r="N589" t="s">
        <v>180</v>
      </c>
      <c r="O589" t="s">
        <v>181</v>
      </c>
      <c r="P589" t="s">
        <v>41</v>
      </c>
      <c r="Q589" t="s">
        <v>42</v>
      </c>
      <c r="R589" t="s">
        <v>764</v>
      </c>
      <c r="S589" t="s">
        <v>59</v>
      </c>
      <c r="T589">
        <v>8</v>
      </c>
      <c r="U589">
        <v>1839.87</v>
      </c>
      <c r="V589">
        <v>0.25</v>
      </c>
      <c r="W589">
        <v>0.25</v>
      </c>
      <c r="X589">
        <v>11039.22</v>
      </c>
      <c r="Y589">
        <f t="shared" si="72"/>
        <v>11039.22</v>
      </c>
      <c r="Z589">
        <v>7642.91</v>
      </c>
      <c r="AA589">
        <v>3396.31</v>
      </c>
      <c r="AB589">
        <f t="shared" si="77"/>
        <v>3396.3099999999995</v>
      </c>
      <c r="AC589" s="8">
        <f t="shared" si="78"/>
        <v>0.30765851210502188</v>
      </c>
      <c r="AD589" t="s">
        <v>155</v>
      </c>
      <c r="AE589" t="s">
        <v>103</v>
      </c>
      <c r="AF589" t="str">
        <f t="shared" si="79"/>
        <v>Perfect Match</v>
      </c>
    </row>
    <row r="590" spans="1:32">
      <c r="A590" t="str">
        <f>IF(OR(I590&lt;0, ISTEXT(W590), ISTEXT(Y590)), "Invalid", IF(OR(B590="Conflicting Duplicate", M590="Unknown", S590="Unknown"), "Warning", "Valid"))</f>
        <v>Valid</v>
      </c>
      <c r="B590" t="str">
        <f t="shared" si="73"/>
        <v>-</v>
      </c>
      <c r="C590" t="s">
        <v>765</v>
      </c>
      <c r="D590" s="2">
        <v>45661</v>
      </c>
      <c r="E590" t="str">
        <f t="shared" si="74"/>
        <v>January</v>
      </c>
      <c r="F590">
        <f t="shared" si="75"/>
        <v>2025</v>
      </c>
      <c r="G590" s="2">
        <v>45755</v>
      </c>
      <c r="H590" t="s">
        <v>766</v>
      </c>
      <c r="I590">
        <f t="shared" si="76"/>
        <v>94</v>
      </c>
      <c r="J590" t="s">
        <v>2795</v>
      </c>
      <c r="K590" t="s">
        <v>89</v>
      </c>
      <c r="L590" t="s">
        <v>24</v>
      </c>
      <c r="M590" t="s">
        <v>38</v>
      </c>
      <c r="N590" t="s">
        <v>39</v>
      </c>
      <c r="O590" t="s">
        <v>40</v>
      </c>
      <c r="P590" t="s">
        <v>41</v>
      </c>
      <c r="Q590" t="s">
        <v>158</v>
      </c>
      <c r="R590" t="s">
        <v>767</v>
      </c>
      <c r="S590" t="s">
        <v>31</v>
      </c>
      <c r="T590">
        <v>5</v>
      </c>
      <c r="U590">
        <v>1021.28</v>
      </c>
      <c r="V590">
        <v>0.1</v>
      </c>
      <c r="W590">
        <v>0.1</v>
      </c>
      <c r="X590">
        <v>4595.76</v>
      </c>
      <c r="Y590">
        <f t="shared" si="72"/>
        <v>4595.76</v>
      </c>
      <c r="Z590">
        <v>3396.8</v>
      </c>
      <c r="AA590">
        <v>1198.96</v>
      </c>
      <c r="AB590">
        <f t="shared" si="77"/>
        <v>1198.96</v>
      </c>
      <c r="AC590" s="8">
        <f t="shared" si="78"/>
        <v>0.26088394520166414</v>
      </c>
      <c r="AD590" t="s">
        <v>102</v>
      </c>
      <c r="AE590" t="s">
        <v>68</v>
      </c>
      <c r="AF590" t="str">
        <f t="shared" si="79"/>
        <v>Perfect Match</v>
      </c>
    </row>
    <row r="591" spans="1:32">
      <c r="A591" t="str">
        <f>IF(OR(I591&lt;0, ISTEXT(W591), ISTEXT(Y591)), "Invalid", IF(OR(B591="Conflicting Duplicate", M591="Unknown", S591="Unknown"), "Warning", "Valid"))</f>
        <v>Valid</v>
      </c>
      <c r="B591" t="str">
        <f t="shared" si="73"/>
        <v>-</v>
      </c>
      <c r="C591" t="s">
        <v>768</v>
      </c>
      <c r="D591" s="2">
        <v>45714</v>
      </c>
      <c r="E591" t="str">
        <f t="shared" si="74"/>
        <v>February</v>
      </c>
      <c r="F591">
        <f t="shared" si="75"/>
        <v>2025</v>
      </c>
      <c r="G591" s="2">
        <v>45715</v>
      </c>
      <c r="H591" t="s">
        <v>769</v>
      </c>
      <c r="I591">
        <f t="shared" si="76"/>
        <v>1</v>
      </c>
      <c r="J591" t="s">
        <v>2795</v>
      </c>
      <c r="K591" t="s">
        <v>114</v>
      </c>
      <c r="L591" t="s">
        <v>90</v>
      </c>
      <c r="M591" t="s">
        <v>63</v>
      </c>
      <c r="N591" t="s">
        <v>180</v>
      </c>
      <c r="O591" t="s">
        <v>181</v>
      </c>
      <c r="P591" t="s">
        <v>41</v>
      </c>
      <c r="Q591" t="s">
        <v>158</v>
      </c>
      <c r="R591" t="s">
        <v>770</v>
      </c>
      <c r="S591" t="s">
        <v>59</v>
      </c>
      <c r="T591">
        <v>5</v>
      </c>
      <c r="U591">
        <v>258.27999999999997</v>
      </c>
      <c r="V591">
        <v>0</v>
      </c>
      <c r="W591">
        <v>0</v>
      </c>
      <c r="X591">
        <v>1291.4000000000001</v>
      </c>
      <c r="Y591">
        <f t="shared" si="72"/>
        <v>1291.4000000000001</v>
      </c>
      <c r="Z591">
        <v>756.93</v>
      </c>
      <c r="AA591">
        <v>534.47</v>
      </c>
      <c r="AB591">
        <f t="shared" si="77"/>
        <v>534.47000000000014</v>
      </c>
      <c r="AC591" s="8">
        <f t="shared" si="78"/>
        <v>0.4138686696608333</v>
      </c>
      <c r="AD591" t="s">
        <v>32</v>
      </c>
      <c r="AE591" t="s">
        <v>33</v>
      </c>
      <c r="AF591" t="str">
        <f t="shared" si="79"/>
        <v>Perfect Match</v>
      </c>
    </row>
    <row r="592" spans="1:32">
      <c r="A592" s="6" t="str">
        <f>IF(OR(I592&lt;0, ISTEXT(W592), ISTEXT(Y592)), "Invalid", IF(OR(B592="Conflicting Duplicate", M592="Unknown", S592="Unknown"), "Warning", "Valid"))</f>
        <v>Invalid</v>
      </c>
      <c r="B592" t="str">
        <f t="shared" si="73"/>
        <v>-</v>
      </c>
      <c r="C592" t="s">
        <v>777</v>
      </c>
      <c r="D592" s="2">
        <v>45992</v>
      </c>
      <c r="E592" t="str">
        <f t="shared" si="74"/>
        <v>December</v>
      </c>
      <c r="F592">
        <f t="shared" si="75"/>
        <v>2025</v>
      </c>
      <c r="G592" s="2">
        <v>45672</v>
      </c>
      <c r="H592" t="s">
        <v>778</v>
      </c>
      <c r="I592" s="7">
        <f t="shared" si="76"/>
        <v>-320</v>
      </c>
      <c r="J592" s="7" t="s">
        <v>2802</v>
      </c>
      <c r="K592" t="s">
        <v>36</v>
      </c>
      <c r="L592" t="s">
        <v>90</v>
      </c>
      <c r="M592" t="s">
        <v>54</v>
      </c>
      <c r="N592" t="s">
        <v>175</v>
      </c>
      <c r="O592" t="s">
        <v>176</v>
      </c>
      <c r="P592" t="s">
        <v>41</v>
      </c>
      <c r="Q592" t="s">
        <v>66</v>
      </c>
      <c r="R592" t="s">
        <v>779</v>
      </c>
      <c r="S592" t="s">
        <v>44</v>
      </c>
      <c r="T592">
        <v>4</v>
      </c>
      <c r="U592">
        <v>1531.53</v>
      </c>
      <c r="V592">
        <v>0.2</v>
      </c>
      <c r="W592">
        <v>0.2</v>
      </c>
      <c r="X592">
        <v>4900.8999999999996</v>
      </c>
      <c r="Y592">
        <f t="shared" si="72"/>
        <v>4900.8999999999996</v>
      </c>
      <c r="Z592">
        <v>3552.69</v>
      </c>
      <c r="AA592">
        <v>1348.21</v>
      </c>
      <c r="AB592">
        <f t="shared" si="77"/>
        <v>1348.2099999999996</v>
      </c>
      <c r="AC592" s="8">
        <f t="shared" si="78"/>
        <v>0.27509437042175922</v>
      </c>
      <c r="AD592" t="s">
        <v>32</v>
      </c>
      <c r="AE592" t="s">
        <v>33</v>
      </c>
      <c r="AF592" t="str">
        <f t="shared" si="79"/>
        <v>Perfect Match</v>
      </c>
    </row>
    <row r="593" spans="1:32">
      <c r="A593" t="str">
        <f>IF(OR(I593&lt;0, ISTEXT(W593), ISTEXT(Y593)), "Invalid", IF(OR(B593="Conflicting Duplicate", M593="Unknown", S593="Unknown"), "Warning", "Valid"))</f>
        <v>Valid</v>
      </c>
      <c r="B593" t="str">
        <f t="shared" si="73"/>
        <v>-</v>
      </c>
      <c r="C593" t="s">
        <v>780</v>
      </c>
      <c r="D593" s="2">
        <v>45776</v>
      </c>
      <c r="E593" t="str">
        <f t="shared" si="74"/>
        <v>April</v>
      </c>
      <c r="F593">
        <f t="shared" si="75"/>
        <v>2025</v>
      </c>
      <c r="G593" s="2">
        <v>45779</v>
      </c>
      <c r="H593" t="s">
        <v>781</v>
      </c>
      <c r="I593">
        <f t="shared" si="76"/>
        <v>3</v>
      </c>
      <c r="J593" t="s">
        <v>2795</v>
      </c>
      <c r="K593" t="s">
        <v>71</v>
      </c>
      <c r="L593" t="s">
        <v>37</v>
      </c>
      <c r="M593" t="s">
        <v>63</v>
      </c>
      <c r="N593" t="s">
        <v>190</v>
      </c>
      <c r="O593" t="s">
        <v>191</v>
      </c>
      <c r="P593" t="s">
        <v>28</v>
      </c>
      <c r="Q593" t="s">
        <v>124</v>
      </c>
      <c r="R593" t="s">
        <v>782</v>
      </c>
      <c r="S593" t="s">
        <v>50</v>
      </c>
      <c r="T593">
        <v>6</v>
      </c>
      <c r="U593">
        <v>4308.09</v>
      </c>
      <c r="V593">
        <v>0</v>
      </c>
      <c r="W593">
        <v>0</v>
      </c>
      <c r="X593">
        <v>25848.54</v>
      </c>
      <c r="Y593">
        <f t="shared" si="72"/>
        <v>25848.54</v>
      </c>
      <c r="Z593">
        <v>17729.09</v>
      </c>
      <c r="AA593">
        <v>8119.45</v>
      </c>
      <c r="AB593">
        <f t="shared" si="77"/>
        <v>8119.4500000000007</v>
      </c>
      <c r="AC593" s="8">
        <f t="shared" si="78"/>
        <v>0.31411638723115504</v>
      </c>
      <c r="AD593" t="s">
        <v>32</v>
      </c>
      <c r="AE593" t="s">
        <v>33</v>
      </c>
      <c r="AF593" t="str">
        <f t="shared" si="79"/>
        <v>Perfect Match</v>
      </c>
    </row>
    <row r="594" spans="1:32">
      <c r="A594" t="str">
        <f>IF(OR(I594&lt;0, ISTEXT(W594), ISTEXT(Y594)), "Invalid", IF(OR(B594="Conflicting Duplicate", M594="Unknown", S594="Unknown"), "Warning", "Valid"))</f>
        <v>Valid</v>
      </c>
      <c r="B594" t="str">
        <f t="shared" si="73"/>
        <v>-</v>
      </c>
      <c r="C594" t="s">
        <v>783</v>
      </c>
      <c r="D594" s="2">
        <v>45707</v>
      </c>
      <c r="E594" t="str">
        <f t="shared" si="74"/>
        <v>February</v>
      </c>
      <c r="F594">
        <f t="shared" si="75"/>
        <v>2025</v>
      </c>
      <c r="G594" s="2">
        <v>45714</v>
      </c>
      <c r="H594" t="s">
        <v>784</v>
      </c>
      <c r="I594">
        <f t="shared" si="76"/>
        <v>7</v>
      </c>
      <c r="J594" t="s">
        <v>2795</v>
      </c>
      <c r="K594" t="s">
        <v>36</v>
      </c>
      <c r="L594" t="s">
        <v>90</v>
      </c>
      <c r="M594" t="s">
        <v>63</v>
      </c>
      <c r="N594" t="s">
        <v>64</v>
      </c>
      <c r="O594" t="s">
        <v>65</v>
      </c>
      <c r="P594" t="s">
        <v>41</v>
      </c>
      <c r="Q594" t="s">
        <v>57</v>
      </c>
      <c r="R594" t="s">
        <v>785</v>
      </c>
      <c r="S594" t="s">
        <v>50</v>
      </c>
      <c r="T594">
        <v>3</v>
      </c>
      <c r="U594">
        <v>490.3</v>
      </c>
      <c r="V594">
        <v>0.2</v>
      </c>
      <c r="W594">
        <v>0.2</v>
      </c>
      <c r="X594">
        <v>1176.72</v>
      </c>
      <c r="Y594">
        <f t="shared" si="72"/>
        <v>1176.72</v>
      </c>
      <c r="Z594">
        <v>654.33000000000004</v>
      </c>
      <c r="AA594">
        <v>522.39</v>
      </c>
      <c r="AB594">
        <f t="shared" si="77"/>
        <v>522.39</v>
      </c>
      <c r="AC594" s="8">
        <f t="shared" si="78"/>
        <v>0.44393738527432181</v>
      </c>
      <c r="AD594" t="s">
        <v>111</v>
      </c>
      <c r="AE594" t="s">
        <v>103</v>
      </c>
      <c r="AF594" t="str">
        <f t="shared" si="79"/>
        <v>Perfect Match</v>
      </c>
    </row>
    <row r="595" spans="1:32">
      <c r="A595" s="6" t="str">
        <f>IF(OR(I595&lt;0, ISTEXT(W595), ISTEXT(Y595)), "Invalid", IF(OR(B595="Conflicting Duplicate", M595="Unknown", S595="Unknown"), "Warning", "Valid"))</f>
        <v>Warning</v>
      </c>
      <c r="B595" t="str">
        <f t="shared" si="73"/>
        <v>Conflicting Duplicate</v>
      </c>
      <c r="C595" t="s">
        <v>786</v>
      </c>
      <c r="D595" s="2">
        <v>45932</v>
      </c>
      <c r="E595" t="str">
        <f t="shared" si="74"/>
        <v>October</v>
      </c>
      <c r="F595">
        <f t="shared" si="75"/>
        <v>2025</v>
      </c>
      <c r="G595" s="2">
        <v>45938</v>
      </c>
      <c r="H595" t="s">
        <v>787</v>
      </c>
      <c r="I595">
        <f t="shared" si="76"/>
        <v>6</v>
      </c>
      <c r="J595" t="s">
        <v>2795</v>
      </c>
      <c r="K595" t="s">
        <v>47</v>
      </c>
      <c r="L595" t="s">
        <v>37</v>
      </c>
      <c r="M595" t="s">
        <v>25</v>
      </c>
      <c r="N595" t="s">
        <v>122</v>
      </c>
      <c r="O595" t="s">
        <v>123</v>
      </c>
      <c r="P595" t="s">
        <v>41</v>
      </c>
      <c r="Q595" t="s">
        <v>57</v>
      </c>
      <c r="R595" t="s">
        <v>788</v>
      </c>
      <c r="S595" t="s">
        <v>59</v>
      </c>
      <c r="T595">
        <v>4</v>
      </c>
      <c r="U595">
        <v>3944.64</v>
      </c>
      <c r="V595">
        <v>0.25</v>
      </c>
      <c r="W595">
        <v>0.25</v>
      </c>
      <c r="X595">
        <v>11833.92</v>
      </c>
      <c r="Y595">
        <f t="shared" si="72"/>
        <v>11833.92</v>
      </c>
      <c r="Z595">
        <v>6682.92</v>
      </c>
      <c r="AA595">
        <v>5151</v>
      </c>
      <c r="AB595">
        <f t="shared" si="77"/>
        <v>5151</v>
      </c>
      <c r="AC595" s="8">
        <f t="shared" si="78"/>
        <v>0.43527419485681834</v>
      </c>
      <c r="AD595" t="s">
        <v>32</v>
      </c>
      <c r="AE595" t="s">
        <v>68</v>
      </c>
      <c r="AF595" t="str">
        <f t="shared" si="79"/>
        <v>Perfect Match</v>
      </c>
    </row>
    <row r="596" spans="1:32">
      <c r="A596" s="6" t="str">
        <f>IF(OR(I596&lt;0, ISTEXT(W596), ISTEXT(Y596)), "Invalid", IF(OR(B596="Conflicting Duplicate", M596="Unknown", S596="Unknown"), "Warning", "Valid"))</f>
        <v>Warning</v>
      </c>
      <c r="B596" t="str">
        <f t="shared" si="73"/>
        <v>Conflicting Duplicate</v>
      </c>
      <c r="C596" t="s">
        <v>786</v>
      </c>
      <c r="D596" s="2">
        <v>45932</v>
      </c>
      <c r="E596" t="str">
        <f t="shared" si="74"/>
        <v>October</v>
      </c>
      <c r="F596">
        <f t="shared" si="75"/>
        <v>2025</v>
      </c>
      <c r="G596" s="2">
        <v>45938</v>
      </c>
      <c r="H596" t="s">
        <v>787</v>
      </c>
      <c r="I596">
        <f t="shared" si="76"/>
        <v>6</v>
      </c>
      <c r="J596" t="s">
        <v>2795</v>
      </c>
      <c r="K596" t="s">
        <v>47</v>
      </c>
      <c r="L596" t="s">
        <v>37</v>
      </c>
      <c r="M596" t="s">
        <v>25</v>
      </c>
      <c r="N596" t="s">
        <v>122</v>
      </c>
      <c r="O596" t="s">
        <v>123</v>
      </c>
      <c r="P596" t="s">
        <v>41</v>
      </c>
      <c r="Q596" t="s">
        <v>57</v>
      </c>
      <c r="R596" t="s">
        <v>788</v>
      </c>
      <c r="S596" t="s">
        <v>59</v>
      </c>
      <c r="T596">
        <v>4</v>
      </c>
      <c r="U596">
        <v>3944.64</v>
      </c>
      <c r="V596">
        <v>0.25</v>
      </c>
      <c r="W596">
        <v>0.25</v>
      </c>
      <c r="X596">
        <v>12116.89</v>
      </c>
      <c r="Y596">
        <f t="shared" si="72"/>
        <v>11833.92</v>
      </c>
      <c r="Z596">
        <v>6682.92</v>
      </c>
      <c r="AA596">
        <v>5151</v>
      </c>
      <c r="AB596">
        <f t="shared" si="77"/>
        <v>5151</v>
      </c>
      <c r="AC596" s="8">
        <f t="shared" si="78"/>
        <v>0.43527419485681834</v>
      </c>
      <c r="AD596" t="s">
        <v>32</v>
      </c>
      <c r="AE596" t="s">
        <v>103</v>
      </c>
      <c r="AF596" t="str">
        <f t="shared" si="79"/>
        <v>Mismatch Found</v>
      </c>
    </row>
    <row r="597" spans="1:32">
      <c r="A597" s="6" t="str">
        <f>IF(OR(I597&lt;0, ISTEXT(W597), ISTEXT(Y597)), "Invalid", IF(OR(B597="Conflicting Duplicate", M597="Unknown", S597="Unknown"), "Warning", "Valid"))</f>
        <v>Invalid</v>
      </c>
      <c r="B597" t="str">
        <f t="shared" si="73"/>
        <v>-</v>
      </c>
      <c r="C597" t="s">
        <v>792</v>
      </c>
      <c r="D597" s="2">
        <v>45934</v>
      </c>
      <c r="E597" t="str">
        <f t="shared" si="74"/>
        <v>October</v>
      </c>
      <c r="F597">
        <f t="shared" si="75"/>
        <v>2025</v>
      </c>
      <c r="G597" s="2">
        <v>45762</v>
      </c>
      <c r="H597" t="s">
        <v>793</v>
      </c>
      <c r="I597" s="7">
        <f t="shared" si="76"/>
        <v>-172</v>
      </c>
      <c r="J597" s="7" t="s">
        <v>2802</v>
      </c>
      <c r="K597" t="s">
        <v>162</v>
      </c>
      <c r="L597" t="s">
        <v>95</v>
      </c>
      <c r="M597" s="4" t="s">
        <v>2790</v>
      </c>
      <c r="N597" t="s">
        <v>185</v>
      </c>
      <c r="O597" t="s">
        <v>186</v>
      </c>
      <c r="P597" t="s">
        <v>74</v>
      </c>
      <c r="Q597" t="s">
        <v>80</v>
      </c>
      <c r="R597" t="s">
        <v>794</v>
      </c>
      <c r="S597" t="s">
        <v>44</v>
      </c>
      <c r="T597">
        <v>1</v>
      </c>
      <c r="U597">
        <v>2208.27</v>
      </c>
      <c r="V597">
        <v>0.1</v>
      </c>
      <c r="W597">
        <v>0.1</v>
      </c>
      <c r="X597">
        <v>1987.44</v>
      </c>
      <c r="Y597">
        <f t="shared" si="72"/>
        <v>1987.44</v>
      </c>
      <c r="Z597">
        <v>1110.23</v>
      </c>
      <c r="AA597">
        <v>877.21</v>
      </c>
      <c r="AB597">
        <f t="shared" si="77"/>
        <v>877.21</v>
      </c>
      <c r="AC597" s="8">
        <f t="shared" si="78"/>
        <v>0.44137684659662685</v>
      </c>
      <c r="AD597" t="s">
        <v>32</v>
      </c>
      <c r="AE597" t="s">
        <v>33</v>
      </c>
      <c r="AF597" t="str">
        <f t="shared" si="79"/>
        <v>Perfect Match</v>
      </c>
    </row>
    <row r="598" spans="1:32">
      <c r="A598" t="str">
        <f>IF(OR(I598&lt;0, ISTEXT(W598), ISTEXT(Y598)), "Invalid", IF(OR(B598="Conflicting Duplicate", M598="Unknown", S598="Unknown"), "Warning", "Valid"))</f>
        <v>Valid</v>
      </c>
      <c r="B598" t="str">
        <f t="shared" si="73"/>
        <v>-</v>
      </c>
      <c r="C598" t="s">
        <v>802</v>
      </c>
      <c r="D598" s="2">
        <v>45836</v>
      </c>
      <c r="E598" t="str">
        <f t="shared" si="74"/>
        <v>June</v>
      </c>
      <c r="F598">
        <f t="shared" si="75"/>
        <v>2025</v>
      </c>
      <c r="G598" s="2">
        <v>45842</v>
      </c>
      <c r="H598" t="s">
        <v>803</v>
      </c>
      <c r="I598">
        <f t="shared" si="76"/>
        <v>6</v>
      </c>
      <c r="J598" t="s">
        <v>2795</v>
      </c>
      <c r="K598" t="s">
        <v>141</v>
      </c>
      <c r="L598" t="s">
        <v>24</v>
      </c>
      <c r="M598" t="s">
        <v>54</v>
      </c>
      <c r="N598" t="s">
        <v>55</v>
      </c>
      <c r="O598" t="s">
        <v>56</v>
      </c>
      <c r="P598" t="s">
        <v>41</v>
      </c>
      <c r="Q598" t="s">
        <v>158</v>
      </c>
      <c r="R598" t="s">
        <v>804</v>
      </c>
      <c r="S598" t="s">
        <v>50</v>
      </c>
      <c r="T598">
        <v>3</v>
      </c>
      <c r="U598">
        <v>2886.23</v>
      </c>
      <c r="V598">
        <v>0</v>
      </c>
      <c r="W598">
        <v>0</v>
      </c>
      <c r="X598">
        <v>8658.69</v>
      </c>
      <c r="Y598">
        <f t="shared" si="72"/>
        <v>8658.69</v>
      </c>
      <c r="Z598">
        <v>5535.94</v>
      </c>
      <c r="AA598">
        <v>3122.75</v>
      </c>
      <c r="AB598">
        <f t="shared" si="77"/>
        <v>3122.7500000000009</v>
      </c>
      <c r="AC598" s="8">
        <f t="shared" si="78"/>
        <v>0.36064924370776652</v>
      </c>
      <c r="AD598" t="s">
        <v>102</v>
      </c>
      <c r="AE598" t="s">
        <v>103</v>
      </c>
      <c r="AF598" t="str">
        <f t="shared" si="79"/>
        <v>Perfect Match</v>
      </c>
    </row>
    <row r="599" spans="1:32">
      <c r="A599" t="str">
        <f>IF(OR(I599&lt;0, ISTEXT(W599), ISTEXT(Y599)), "Invalid", IF(OR(B599="Conflicting Duplicate", M599="Unknown", S599="Unknown"), "Warning", "Valid"))</f>
        <v>Valid</v>
      </c>
      <c r="B599" t="str">
        <f t="shared" si="73"/>
        <v>-</v>
      </c>
      <c r="C599" t="s">
        <v>812</v>
      </c>
      <c r="D599" s="2">
        <v>45812</v>
      </c>
      <c r="E599" t="str">
        <f t="shared" si="74"/>
        <v>June</v>
      </c>
      <c r="F599">
        <f t="shared" si="75"/>
        <v>2025</v>
      </c>
      <c r="G599" s="2">
        <v>45818</v>
      </c>
      <c r="H599" t="s">
        <v>813</v>
      </c>
      <c r="I599">
        <f t="shared" si="76"/>
        <v>6</v>
      </c>
      <c r="J599" t="s">
        <v>2795</v>
      </c>
      <c r="K599" t="s">
        <v>118</v>
      </c>
      <c r="L599" t="s">
        <v>24</v>
      </c>
      <c r="M599" t="s">
        <v>54</v>
      </c>
      <c r="N599" t="s">
        <v>84</v>
      </c>
      <c r="O599" t="s">
        <v>85</v>
      </c>
      <c r="P599" t="s">
        <v>74</v>
      </c>
      <c r="Q599" t="s">
        <v>171</v>
      </c>
      <c r="R599" t="s">
        <v>814</v>
      </c>
      <c r="S599" t="s">
        <v>59</v>
      </c>
      <c r="T599">
        <v>4</v>
      </c>
      <c r="U599">
        <v>223.37</v>
      </c>
      <c r="V599">
        <v>0.25</v>
      </c>
      <c r="W599">
        <v>0.25</v>
      </c>
      <c r="X599">
        <v>670.11</v>
      </c>
      <c r="Y599">
        <f t="shared" si="72"/>
        <v>670.11</v>
      </c>
      <c r="Z599">
        <v>559.57000000000005</v>
      </c>
      <c r="AA599">
        <v>110.54</v>
      </c>
      <c r="AB599">
        <f t="shared" si="77"/>
        <v>110.53999999999996</v>
      </c>
      <c r="AC599" s="8">
        <f t="shared" si="78"/>
        <v>0.16495799197146732</v>
      </c>
      <c r="AD599" t="s">
        <v>32</v>
      </c>
      <c r="AE599" t="s">
        <v>33</v>
      </c>
      <c r="AF599" t="str">
        <f t="shared" si="79"/>
        <v>Perfect Match</v>
      </c>
    </row>
    <row r="600" spans="1:32">
      <c r="A600" s="6" t="str">
        <f>IF(OR(I600&lt;0, ISTEXT(W600), ISTEXT(Y600)), "Invalid", IF(OR(B600="Conflicting Duplicate", M600="Unknown", S600="Unknown"), "Warning", "Valid"))</f>
        <v>Invalid</v>
      </c>
      <c r="B600" t="str">
        <f t="shared" si="73"/>
        <v>-</v>
      </c>
      <c r="C600" t="s">
        <v>839</v>
      </c>
      <c r="D600" s="2">
        <v>45844</v>
      </c>
      <c r="E600" t="str">
        <f t="shared" si="74"/>
        <v>July</v>
      </c>
      <c r="F600">
        <f t="shared" si="75"/>
        <v>2025</v>
      </c>
      <c r="G600" s="2">
        <v>45815</v>
      </c>
      <c r="H600" t="s">
        <v>840</v>
      </c>
      <c r="I600" s="7">
        <f t="shared" si="76"/>
        <v>-29</v>
      </c>
      <c r="J600" s="7" t="s">
        <v>2802</v>
      </c>
      <c r="K600" t="s">
        <v>132</v>
      </c>
      <c r="L600" t="s">
        <v>90</v>
      </c>
      <c r="M600" t="s">
        <v>25</v>
      </c>
      <c r="N600" t="s">
        <v>236</v>
      </c>
      <c r="O600" t="s">
        <v>237</v>
      </c>
      <c r="P600" t="s">
        <v>28</v>
      </c>
      <c r="Q600" t="s">
        <v>124</v>
      </c>
      <c r="R600" t="s">
        <v>841</v>
      </c>
      <c r="S600" t="s">
        <v>59</v>
      </c>
      <c r="T600">
        <v>1</v>
      </c>
      <c r="U600">
        <v>1617.2</v>
      </c>
      <c r="V600">
        <v>0.25</v>
      </c>
      <c r="W600">
        <v>0.25</v>
      </c>
      <c r="X600">
        <v>1212.9000000000001</v>
      </c>
      <c r="Y600">
        <f t="shared" si="72"/>
        <v>1212.9000000000001</v>
      </c>
      <c r="Z600">
        <v>690.52</v>
      </c>
      <c r="AA600">
        <v>522.38</v>
      </c>
      <c r="AB600">
        <f t="shared" si="77"/>
        <v>522.38000000000011</v>
      </c>
      <c r="AC600" s="8">
        <f t="shared" si="78"/>
        <v>0.4306867837414462</v>
      </c>
      <c r="AD600" t="s">
        <v>111</v>
      </c>
      <c r="AE600" t="s">
        <v>103</v>
      </c>
      <c r="AF600" t="str">
        <f t="shared" si="79"/>
        <v>Perfect Match</v>
      </c>
    </row>
    <row r="601" spans="1:32">
      <c r="A601" t="str">
        <f>IF(OR(I601&lt;0, ISTEXT(W601), ISTEXT(Y601)), "Invalid", IF(OR(B601="Conflicting Duplicate", M601="Unknown", S601="Unknown"), "Warning", "Valid"))</f>
        <v>Valid</v>
      </c>
      <c r="B601" t="str">
        <f t="shared" si="73"/>
        <v>-</v>
      </c>
      <c r="C601" t="s">
        <v>842</v>
      </c>
      <c r="D601" s="2">
        <v>45695</v>
      </c>
      <c r="E601" t="str">
        <f t="shared" si="74"/>
        <v>February</v>
      </c>
      <c r="F601">
        <f t="shared" si="75"/>
        <v>2025</v>
      </c>
      <c r="G601" s="2">
        <v>45695</v>
      </c>
      <c r="H601" t="s">
        <v>843</v>
      </c>
      <c r="I601">
        <f t="shared" si="76"/>
        <v>0</v>
      </c>
      <c r="J601" t="s">
        <v>2795</v>
      </c>
      <c r="K601" t="s">
        <v>53</v>
      </c>
      <c r="L601" t="s">
        <v>24</v>
      </c>
      <c r="M601" t="s">
        <v>25</v>
      </c>
      <c r="N601" t="s">
        <v>136</v>
      </c>
      <c r="O601" t="s">
        <v>137</v>
      </c>
      <c r="P601" t="s">
        <v>28</v>
      </c>
      <c r="Q601" t="s">
        <v>48</v>
      </c>
      <c r="R601" t="s">
        <v>844</v>
      </c>
      <c r="S601" t="s">
        <v>31</v>
      </c>
      <c r="T601">
        <v>3</v>
      </c>
      <c r="U601">
        <v>1999.24</v>
      </c>
      <c r="V601">
        <v>0.05</v>
      </c>
      <c r="W601">
        <v>0.05</v>
      </c>
      <c r="X601">
        <v>5697.83</v>
      </c>
      <c r="Y601">
        <f t="shared" si="72"/>
        <v>5697.83</v>
      </c>
      <c r="Z601">
        <v>4251.5</v>
      </c>
      <c r="AA601">
        <v>1446.33</v>
      </c>
      <c r="AB601">
        <f t="shared" si="77"/>
        <v>1446.33</v>
      </c>
      <c r="AC601" s="8">
        <f t="shared" si="78"/>
        <v>0.2538387421176132</v>
      </c>
      <c r="AD601" t="s">
        <v>32</v>
      </c>
      <c r="AE601" t="s">
        <v>33</v>
      </c>
      <c r="AF601" t="str">
        <f t="shared" si="79"/>
        <v>Perfect Match</v>
      </c>
    </row>
    <row r="602" spans="1:32">
      <c r="A602" s="6" t="str">
        <f>IF(OR(I602&lt;0, ISTEXT(W602), ISTEXT(Y602)), "Invalid", IF(OR(B602="Conflicting Duplicate", M602="Unknown", S602="Unknown"), "Warning", "Valid"))</f>
        <v>Warning</v>
      </c>
      <c r="B602" t="str">
        <f t="shared" si="73"/>
        <v>-</v>
      </c>
      <c r="C602" t="s">
        <v>845</v>
      </c>
      <c r="D602" s="2">
        <v>45867</v>
      </c>
      <c r="E602" t="str">
        <f t="shared" si="74"/>
        <v>July</v>
      </c>
      <c r="F602">
        <f t="shared" si="75"/>
        <v>2025</v>
      </c>
      <c r="G602" s="2">
        <v>45871</v>
      </c>
      <c r="H602" t="s">
        <v>846</v>
      </c>
      <c r="I602">
        <f t="shared" si="76"/>
        <v>4</v>
      </c>
      <c r="J602" t="s">
        <v>2795</v>
      </c>
      <c r="K602" t="s">
        <v>132</v>
      </c>
      <c r="L602" t="s">
        <v>37</v>
      </c>
      <c r="M602" s="4" t="s">
        <v>2790</v>
      </c>
      <c r="N602" t="s">
        <v>72</v>
      </c>
      <c r="O602" t="s">
        <v>73</v>
      </c>
      <c r="P602" t="s">
        <v>74</v>
      </c>
      <c r="Q602" t="s">
        <v>75</v>
      </c>
      <c r="R602" t="s">
        <v>847</v>
      </c>
      <c r="S602" t="s">
        <v>50</v>
      </c>
      <c r="T602">
        <v>1</v>
      </c>
      <c r="U602">
        <v>4499.46</v>
      </c>
      <c r="V602">
        <v>0.1</v>
      </c>
      <c r="W602">
        <v>0.1</v>
      </c>
      <c r="X602">
        <v>4049.51</v>
      </c>
      <c r="Y602">
        <f t="shared" si="72"/>
        <v>4049.51</v>
      </c>
      <c r="Z602">
        <v>2509.1999999999998</v>
      </c>
      <c r="AA602">
        <v>1540.31</v>
      </c>
      <c r="AB602">
        <f t="shared" si="77"/>
        <v>1540.3100000000004</v>
      </c>
      <c r="AC602" s="8">
        <f t="shared" si="78"/>
        <v>0.380369476800897</v>
      </c>
      <c r="AD602" t="s">
        <v>32</v>
      </c>
      <c r="AE602" t="s">
        <v>682</v>
      </c>
      <c r="AF602" t="str">
        <f t="shared" si="79"/>
        <v>Perfect Match</v>
      </c>
    </row>
    <row r="603" spans="1:32">
      <c r="A603" t="str">
        <f>IF(OR(I603&lt;0, ISTEXT(W603), ISTEXT(Y603)), "Invalid", IF(OR(B603="Conflicting Duplicate", M603="Unknown", S603="Unknown"), "Warning", "Valid"))</f>
        <v>Valid</v>
      </c>
      <c r="B603" t="str">
        <f t="shared" si="73"/>
        <v>-</v>
      </c>
      <c r="C603" t="s">
        <v>864</v>
      </c>
      <c r="D603" s="2">
        <v>45870</v>
      </c>
      <c r="E603" t="str">
        <f t="shared" si="74"/>
        <v>August</v>
      </c>
      <c r="F603">
        <f t="shared" si="75"/>
        <v>2025</v>
      </c>
      <c r="G603" s="2">
        <v>45871</v>
      </c>
      <c r="H603" t="s">
        <v>865</v>
      </c>
      <c r="I603">
        <f t="shared" si="76"/>
        <v>1</v>
      </c>
      <c r="J603" t="s">
        <v>2795</v>
      </c>
      <c r="K603" t="s">
        <v>36</v>
      </c>
      <c r="L603" t="s">
        <v>90</v>
      </c>
      <c r="M603" t="s">
        <v>25</v>
      </c>
      <c r="N603" t="s">
        <v>26</v>
      </c>
      <c r="O603" t="s">
        <v>27</v>
      </c>
      <c r="P603" t="s">
        <v>41</v>
      </c>
      <c r="Q603" t="s">
        <v>57</v>
      </c>
      <c r="R603" t="s">
        <v>866</v>
      </c>
      <c r="S603" t="s">
        <v>50</v>
      </c>
      <c r="T603">
        <v>4</v>
      </c>
      <c r="U603">
        <v>2790.29</v>
      </c>
      <c r="V603">
        <v>0.2</v>
      </c>
      <c r="W603">
        <v>0.2</v>
      </c>
      <c r="X603">
        <v>8928.93</v>
      </c>
      <c r="Y603">
        <f t="shared" si="72"/>
        <v>8928.93</v>
      </c>
      <c r="Z603">
        <v>5634.38</v>
      </c>
      <c r="AA603">
        <v>3294.55</v>
      </c>
      <c r="AB603">
        <f t="shared" si="77"/>
        <v>3294.55</v>
      </c>
      <c r="AC603" s="8">
        <f t="shared" si="78"/>
        <v>0.36897478197275596</v>
      </c>
      <c r="AD603" t="s">
        <v>32</v>
      </c>
      <c r="AE603" t="s">
        <v>33</v>
      </c>
      <c r="AF603" t="str">
        <f t="shared" si="79"/>
        <v>Perfect Match</v>
      </c>
    </row>
    <row r="604" spans="1:32">
      <c r="A604" t="str">
        <f>IF(OR(I604&lt;0, ISTEXT(W604), ISTEXT(Y604)), "Invalid", IF(OR(B604="Conflicting Duplicate", M604="Unknown", S604="Unknown"), "Warning", "Valid"))</f>
        <v>Valid</v>
      </c>
      <c r="B604" t="str">
        <f t="shared" si="73"/>
        <v>-</v>
      </c>
      <c r="C604" t="s">
        <v>870</v>
      </c>
      <c r="D604" s="2">
        <v>45753</v>
      </c>
      <c r="E604" t="str">
        <f t="shared" si="74"/>
        <v>April</v>
      </c>
      <c r="F604">
        <f t="shared" si="75"/>
        <v>2025</v>
      </c>
      <c r="G604" s="2">
        <v>45757</v>
      </c>
      <c r="H604" t="s">
        <v>871</v>
      </c>
      <c r="I604">
        <f t="shared" si="76"/>
        <v>4</v>
      </c>
      <c r="J604" t="s">
        <v>2795</v>
      </c>
      <c r="K604" t="s">
        <v>62</v>
      </c>
      <c r="L604" t="s">
        <v>90</v>
      </c>
      <c r="M604" t="s">
        <v>63</v>
      </c>
      <c r="N604" t="s">
        <v>180</v>
      </c>
      <c r="O604" t="s">
        <v>181</v>
      </c>
      <c r="P604" t="s">
        <v>41</v>
      </c>
      <c r="Q604" t="s">
        <v>42</v>
      </c>
      <c r="R604" t="s">
        <v>872</v>
      </c>
      <c r="S604" t="s">
        <v>31</v>
      </c>
      <c r="T604">
        <v>6</v>
      </c>
      <c r="U604">
        <v>1022.16</v>
      </c>
      <c r="V604">
        <v>0</v>
      </c>
      <c r="W604">
        <v>0</v>
      </c>
      <c r="X604">
        <v>6132.96</v>
      </c>
      <c r="Y604">
        <f t="shared" si="72"/>
        <v>6132.96</v>
      </c>
      <c r="Z604">
        <v>4881.1000000000004</v>
      </c>
      <c r="AA604">
        <v>1251.8599999999999</v>
      </c>
      <c r="AB604">
        <f t="shared" si="77"/>
        <v>1251.8599999999997</v>
      </c>
      <c r="AC604" s="8">
        <f t="shared" si="78"/>
        <v>0.20412003339333692</v>
      </c>
      <c r="AD604" t="s">
        <v>32</v>
      </c>
      <c r="AE604" t="s">
        <v>33</v>
      </c>
      <c r="AF604" t="str">
        <f t="shared" si="79"/>
        <v>Perfect Match</v>
      </c>
    </row>
    <row r="605" spans="1:32">
      <c r="A605" t="str">
        <f>IF(OR(I605&lt;0, ISTEXT(W605), ISTEXT(Y605)), "Invalid", IF(OR(B605="Conflicting Duplicate", M605="Unknown", S605="Unknown"), "Warning", "Valid"))</f>
        <v>Valid</v>
      </c>
      <c r="B605" t="str">
        <f t="shared" si="73"/>
        <v>-</v>
      </c>
      <c r="C605" t="s">
        <v>873</v>
      </c>
      <c r="D605" s="2">
        <v>45833</v>
      </c>
      <c r="E605" t="str">
        <f t="shared" si="74"/>
        <v>June</v>
      </c>
      <c r="F605">
        <f t="shared" si="75"/>
        <v>2025</v>
      </c>
      <c r="G605" s="2">
        <v>45836</v>
      </c>
      <c r="H605" t="s">
        <v>874</v>
      </c>
      <c r="I605">
        <f t="shared" si="76"/>
        <v>3</v>
      </c>
      <c r="J605" t="s">
        <v>2795</v>
      </c>
      <c r="K605" t="s">
        <v>53</v>
      </c>
      <c r="L605" t="s">
        <v>90</v>
      </c>
      <c r="M605" t="s">
        <v>25</v>
      </c>
      <c r="N605" t="s">
        <v>236</v>
      </c>
      <c r="O605" t="s">
        <v>237</v>
      </c>
      <c r="P605" t="s">
        <v>28</v>
      </c>
      <c r="Q605" t="s">
        <v>124</v>
      </c>
      <c r="R605" t="s">
        <v>875</v>
      </c>
      <c r="S605" t="s">
        <v>50</v>
      </c>
      <c r="T605">
        <v>2</v>
      </c>
      <c r="U605">
        <v>1455.92</v>
      </c>
      <c r="V605">
        <v>0.2</v>
      </c>
      <c r="W605">
        <v>0.2</v>
      </c>
      <c r="X605">
        <v>2329.4699999999998</v>
      </c>
      <c r="Y605">
        <f t="shared" si="72"/>
        <v>2329.4699999999998</v>
      </c>
      <c r="Z605">
        <v>1603.62</v>
      </c>
      <c r="AA605">
        <v>725.85</v>
      </c>
      <c r="AB605">
        <f t="shared" si="77"/>
        <v>725.84999999999991</v>
      </c>
      <c r="AC605" s="8">
        <f t="shared" si="78"/>
        <v>0.31159448286520108</v>
      </c>
      <c r="AD605" t="s">
        <v>111</v>
      </c>
      <c r="AE605" t="s">
        <v>103</v>
      </c>
      <c r="AF605" t="str">
        <f t="shared" si="79"/>
        <v>Perfect Match</v>
      </c>
    </row>
    <row r="606" spans="1:32">
      <c r="A606" t="str">
        <f>IF(OR(I606&lt;0, ISTEXT(W606), ISTEXT(Y606)), "Invalid", IF(OR(B606="Conflicting Duplicate", M606="Unknown", S606="Unknown"), "Warning", "Valid"))</f>
        <v>Valid</v>
      </c>
      <c r="B606" t="str">
        <f t="shared" si="73"/>
        <v>-</v>
      </c>
      <c r="C606" t="s">
        <v>879</v>
      </c>
      <c r="D606" s="2">
        <v>45658</v>
      </c>
      <c r="E606" t="str">
        <f t="shared" si="74"/>
        <v>January</v>
      </c>
      <c r="F606">
        <f t="shared" si="75"/>
        <v>2025</v>
      </c>
      <c r="G606" s="2">
        <v>45717</v>
      </c>
      <c r="H606" t="s">
        <v>880</v>
      </c>
      <c r="I606">
        <f t="shared" si="76"/>
        <v>59</v>
      </c>
      <c r="J606" t="s">
        <v>2795</v>
      </c>
      <c r="K606" t="s">
        <v>62</v>
      </c>
      <c r="L606" t="s">
        <v>24</v>
      </c>
      <c r="M606" t="s">
        <v>63</v>
      </c>
      <c r="N606" t="s">
        <v>72</v>
      </c>
      <c r="O606" t="s">
        <v>73</v>
      </c>
      <c r="P606" t="s">
        <v>74</v>
      </c>
      <c r="Q606" t="s">
        <v>75</v>
      </c>
      <c r="R606" t="s">
        <v>881</v>
      </c>
      <c r="S606" t="s">
        <v>44</v>
      </c>
      <c r="T606">
        <v>7</v>
      </c>
      <c r="U606">
        <v>1000.55</v>
      </c>
      <c r="V606">
        <v>0.2</v>
      </c>
      <c r="W606">
        <v>0.2</v>
      </c>
      <c r="X606">
        <v>5603.08</v>
      </c>
      <c r="Y606">
        <f t="shared" si="72"/>
        <v>5603.08</v>
      </c>
      <c r="Z606">
        <v>3132.52</v>
      </c>
      <c r="AA606">
        <v>2470.56</v>
      </c>
      <c r="AB606">
        <f t="shared" si="77"/>
        <v>2470.56</v>
      </c>
      <c r="AC606" s="8">
        <f t="shared" si="78"/>
        <v>0.44092891766671188</v>
      </c>
      <c r="AD606" t="s">
        <v>32</v>
      </c>
      <c r="AE606" t="s">
        <v>103</v>
      </c>
      <c r="AF606" t="str">
        <f t="shared" si="79"/>
        <v>Perfect Match</v>
      </c>
    </row>
    <row r="607" spans="1:32">
      <c r="A607" t="str">
        <f>IF(OR(I607&lt;0, ISTEXT(W607), ISTEXT(Y607)), "Invalid", IF(OR(B607="Conflicting Duplicate", M607="Unknown", S607="Unknown"), "Warning", "Valid"))</f>
        <v>Valid</v>
      </c>
      <c r="B607" t="str">
        <f t="shared" si="73"/>
        <v>-</v>
      </c>
      <c r="C607" t="s">
        <v>882</v>
      </c>
      <c r="D607" s="2">
        <v>45692</v>
      </c>
      <c r="E607" t="str">
        <f t="shared" si="74"/>
        <v>February</v>
      </c>
      <c r="F607">
        <f t="shared" si="75"/>
        <v>2025</v>
      </c>
      <c r="G607" s="2">
        <v>45698</v>
      </c>
      <c r="H607" t="s">
        <v>883</v>
      </c>
      <c r="I607">
        <f t="shared" si="76"/>
        <v>6</v>
      </c>
      <c r="J607" t="s">
        <v>2795</v>
      </c>
      <c r="K607" t="s">
        <v>47</v>
      </c>
      <c r="L607" t="s">
        <v>90</v>
      </c>
      <c r="M607" t="s">
        <v>63</v>
      </c>
      <c r="N607" t="s">
        <v>64</v>
      </c>
      <c r="O607" t="s">
        <v>65</v>
      </c>
      <c r="P607" t="s">
        <v>74</v>
      </c>
      <c r="Q607" t="s">
        <v>171</v>
      </c>
      <c r="R607" t="s">
        <v>884</v>
      </c>
      <c r="S607" t="s">
        <v>50</v>
      </c>
      <c r="T607">
        <v>7</v>
      </c>
      <c r="U607">
        <v>1830</v>
      </c>
      <c r="V607">
        <v>0</v>
      </c>
      <c r="W607">
        <v>0</v>
      </c>
      <c r="X607">
        <v>12810</v>
      </c>
      <c r="Y607">
        <f t="shared" si="72"/>
        <v>12810</v>
      </c>
      <c r="Z607">
        <v>9334.1200000000008</v>
      </c>
      <c r="AA607">
        <v>3475.88</v>
      </c>
      <c r="AB607">
        <f t="shared" si="77"/>
        <v>3475.8799999999992</v>
      </c>
      <c r="AC607" s="8">
        <f t="shared" si="78"/>
        <v>0.27134113973458229</v>
      </c>
      <c r="AD607" t="s">
        <v>32</v>
      </c>
      <c r="AE607" t="s">
        <v>33</v>
      </c>
      <c r="AF607" t="str">
        <f t="shared" si="79"/>
        <v>Perfect Match</v>
      </c>
    </row>
    <row r="608" spans="1:32">
      <c r="A608" t="str">
        <f>IF(OR(I608&lt;0, ISTEXT(W608), ISTEXT(Y608)), "Invalid", IF(OR(B608="Conflicting Duplicate", M608="Unknown", S608="Unknown"), "Warning", "Valid"))</f>
        <v>Valid</v>
      </c>
      <c r="B608" t="str">
        <f t="shared" si="73"/>
        <v>-</v>
      </c>
      <c r="C608" t="s">
        <v>888</v>
      </c>
      <c r="D608" s="2">
        <v>45878</v>
      </c>
      <c r="E608" t="str">
        <f t="shared" si="74"/>
        <v>August</v>
      </c>
      <c r="F608">
        <f t="shared" si="75"/>
        <v>2025</v>
      </c>
      <c r="G608" s="2">
        <v>45881</v>
      </c>
      <c r="H608" t="s">
        <v>889</v>
      </c>
      <c r="I608">
        <f t="shared" si="76"/>
        <v>3</v>
      </c>
      <c r="J608" t="s">
        <v>2795</v>
      </c>
      <c r="K608" t="s">
        <v>162</v>
      </c>
      <c r="L608" t="s">
        <v>90</v>
      </c>
      <c r="M608" t="s">
        <v>54</v>
      </c>
      <c r="N608" t="s">
        <v>175</v>
      </c>
      <c r="O608" t="s">
        <v>176</v>
      </c>
      <c r="P608" t="s">
        <v>74</v>
      </c>
      <c r="Q608" t="s">
        <v>75</v>
      </c>
      <c r="R608" t="s">
        <v>890</v>
      </c>
      <c r="S608" t="s">
        <v>31</v>
      </c>
      <c r="T608">
        <v>2</v>
      </c>
      <c r="U608">
        <v>3237.27</v>
      </c>
      <c r="V608">
        <v>0</v>
      </c>
      <c r="W608">
        <v>0</v>
      </c>
      <c r="X608">
        <v>6474.54</v>
      </c>
      <c r="Y608">
        <f t="shared" si="72"/>
        <v>6474.54</v>
      </c>
      <c r="Z608">
        <v>5095.91</v>
      </c>
      <c r="AA608">
        <v>1378.63</v>
      </c>
      <c r="AB608">
        <f t="shared" si="77"/>
        <v>1378.63</v>
      </c>
      <c r="AC608" s="8">
        <f t="shared" si="78"/>
        <v>0.21293095725719513</v>
      </c>
      <c r="AD608" t="s">
        <v>32</v>
      </c>
      <c r="AE608" t="s">
        <v>68</v>
      </c>
      <c r="AF608" t="str">
        <f t="shared" si="79"/>
        <v>Perfect Match</v>
      </c>
    </row>
    <row r="609" spans="1:32">
      <c r="A609" t="str">
        <f>IF(OR(I609&lt;0, ISTEXT(W609), ISTEXT(Y609)), "Invalid", IF(OR(B609="Conflicting Duplicate", M609="Unknown", S609="Unknown"), "Warning", "Valid"))</f>
        <v>Valid</v>
      </c>
      <c r="B609" t="str">
        <f t="shared" si="73"/>
        <v>-</v>
      </c>
      <c r="C609" t="s">
        <v>897</v>
      </c>
      <c r="D609" s="2">
        <v>45923</v>
      </c>
      <c r="E609" t="str">
        <f t="shared" si="74"/>
        <v>September</v>
      </c>
      <c r="F609">
        <f t="shared" si="75"/>
        <v>2025</v>
      </c>
      <c r="G609" s="2">
        <v>45927</v>
      </c>
      <c r="H609" t="s">
        <v>898</v>
      </c>
      <c r="I609">
        <f t="shared" si="76"/>
        <v>4</v>
      </c>
      <c r="J609" t="s">
        <v>2795</v>
      </c>
      <c r="K609" t="s">
        <v>89</v>
      </c>
      <c r="L609" t="s">
        <v>90</v>
      </c>
      <c r="M609" t="s">
        <v>38</v>
      </c>
      <c r="N609" t="s">
        <v>99</v>
      </c>
      <c r="O609" t="s">
        <v>100</v>
      </c>
      <c r="P609" t="s">
        <v>28</v>
      </c>
      <c r="Q609" t="s">
        <v>153</v>
      </c>
      <c r="R609" t="s">
        <v>899</v>
      </c>
      <c r="S609" t="s">
        <v>44</v>
      </c>
      <c r="T609">
        <v>7</v>
      </c>
      <c r="U609">
        <v>2897.12</v>
      </c>
      <c r="V609">
        <v>0.25</v>
      </c>
      <c r="W609">
        <v>0.25</v>
      </c>
      <c r="X609">
        <v>15209.88</v>
      </c>
      <c r="Y609">
        <f t="shared" si="72"/>
        <v>15209.88</v>
      </c>
      <c r="Z609">
        <v>10891.15</v>
      </c>
      <c r="AA609">
        <v>4318.7299999999996</v>
      </c>
      <c r="AB609">
        <f t="shared" si="77"/>
        <v>4318.7299999999996</v>
      </c>
      <c r="AC609" s="8">
        <f t="shared" si="78"/>
        <v>0.28394241111698448</v>
      </c>
      <c r="AD609" t="s">
        <v>155</v>
      </c>
      <c r="AE609" t="s">
        <v>103</v>
      </c>
      <c r="AF609" t="str">
        <f t="shared" si="79"/>
        <v>Perfect Match</v>
      </c>
    </row>
    <row r="610" spans="1:32">
      <c r="A610" t="str">
        <f>IF(OR(I610&lt;0, ISTEXT(W610), ISTEXT(Y610)), "Invalid", IF(OR(B610="Conflicting Duplicate", M610="Unknown", S610="Unknown"), "Warning", "Valid"))</f>
        <v>Valid</v>
      </c>
      <c r="B610" t="str">
        <f t="shared" si="73"/>
        <v>-</v>
      </c>
      <c r="C610" t="s">
        <v>900</v>
      </c>
      <c r="D610" s="2">
        <v>45826</v>
      </c>
      <c r="E610" t="str">
        <f t="shared" si="74"/>
        <v>June</v>
      </c>
      <c r="F610">
        <f t="shared" si="75"/>
        <v>2025</v>
      </c>
      <c r="G610" s="2">
        <v>45832</v>
      </c>
      <c r="H610" t="s">
        <v>901</v>
      </c>
      <c r="I610">
        <f t="shared" si="76"/>
        <v>6</v>
      </c>
      <c r="J610" t="s">
        <v>2795</v>
      </c>
      <c r="K610" t="s">
        <v>132</v>
      </c>
      <c r="L610" t="s">
        <v>90</v>
      </c>
      <c r="M610" t="s">
        <v>25</v>
      </c>
      <c r="N610" t="s">
        <v>26</v>
      </c>
      <c r="O610" t="s">
        <v>27</v>
      </c>
      <c r="P610" t="s">
        <v>28</v>
      </c>
      <c r="Q610" t="s">
        <v>91</v>
      </c>
      <c r="R610" t="s">
        <v>902</v>
      </c>
      <c r="S610" t="s">
        <v>59</v>
      </c>
      <c r="T610">
        <v>3</v>
      </c>
      <c r="U610">
        <v>686.74</v>
      </c>
      <c r="V610">
        <v>0.2</v>
      </c>
      <c r="W610">
        <v>0.2</v>
      </c>
      <c r="X610">
        <v>1648.18</v>
      </c>
      <c r="Y610">
        <f t="shared" si="72"/>
        <v>1648.18</v>
      </c>
      <c r="Z610">
        <v>987.91</v>
      </c>
      <c r="AA610">
        <v>660.27</v>
      </c>
      <c r="AB610">
        <f t="shared" si="77"/>
        <v>660.2700000000001</v>
      </c>
      <c r="AC610" s="8">
        <f t="shared" si="78"/>
        <v>0.4006055163877732</v>
      </c>
      <c r="AD610" t="s">
        <v>155</v>
      </c>
      <c r="AE610" t="s">
        <v>68</v>
      </c>
      <c r="AF610" t="str">
        <f t="shared" si="79"/>
        <v>Perfect Match</v>
      </c>
    </row>
    <row r="611" spans="1:32">
      <c r="A611" t="str">
        <f>IF(OR(I611&lt;0, ISTEXT(W611), ISTEXT(Y611)), "Invalid", IF(OR(B611="Conflicting Duplicate", M611="Unknown", S611="Unknown"), "Warning", "Valid"))</f>
        <v>Valid</v>
      </c>
      <c r="B611" t="str">
        <f t="shared" si="73"/>
        <v>-</v>
      </c>
      <c r="C611" t="s">
        <v>903</v>
      </c>
      <c r="D611" s="2">
        <v>45803</v>
      </c>
      <c r="E611" t="str">
        <f t="shared" si="74"/>
        <v>May</v>
      </c>
      <c r="F611">
        <f t="shared" si="75"/>
        <v>2025</v>
      </c>
      <c r="G611" s="2">
        <v>45809</v>
      </c>
      <c r="H611" t="s">
        <v>633</v>
      </c>
      <c r="I611">
        <f t="shared" si="76"/>
        <v>6</v>
      </c>
      <c r="J611" t="s">
        <v>2795</v>
      </c>
      <c r="K611" t="s">
        <v>53</v>
      </c>
      <c r="L611" t="s">
        <v>37</v>
      </c>
      <c r="M611" t="s">
        <v>25</v>
      </c>
      <c r="N611" t="s">
        <v>350</v>
      </c>
      <c r="O611" t="s">
        <v>351</v>
      </c>
      <c r="P611" t="s">
        <v>74</v>
      </c>
      <c r="Q611" t="s">
        <v>171</v>
      </c>
      <c r="R611" t="s">
        <v>904</v>
      </c>
      <c r="S611" t="s">
        <v>44</v>
      </c>
      <c r="T611">
        <v>4</v>
      </c>
      <c r="U611">
        <v>3349.86</v>
      </c>
      <c r="V611">
        <v>0</v>
      </c>
      <c r="W611">
        <v>0</v>
      </c>
      <c r="X611">
        <v>13399.44</v>
      </c>
      <c r="Y611">
        <f t="shared" si="72"/>
        <v>13399.44</v>
      </c>
      <c r="Z611">
        <v>8581.35</v>
      </c>
      <c r="AA611">
        <v>4818.09</v>
      </c>
      <c r="AB611">
        <f t="shared" si="77"/>
        <v>4818.09</v>
      </c>
      <c r="AC611" s="8">
        <f t="shared" si="78"/>
        <v>0.3595739821962709</v>
      </c>
      <c r="AD611" t="s">
        <v>111</v>
      </c>
      <c r="AE611" t="s">
        <v>103</v>
      </c>
      <c r="AF611" t="str">
        <f t="shared" si="79"/>
        <v>Perfect Match</v>
      </c>
    </row>
    <row r="612" spans="1:32">
      <c r="A612" t="str">
        <f>IF(OR(I612&lt;0, ISTEXT(W612), ISTEXT(Y612)), "Invalid", IF(OR(B612="Conflicting Duplicate", M612="Unknown", S612="Unknown"), "Warning", "Valid"))</f>
        <v>Valid</v>
      </c>
      <c r="B612" t="str">
        <f t="shared" si="73"/>
        <v>-</v>
      </c>
      <c r="C612" t="s">
        <v>905</v>
      </c>
      <c r="D612" s="2">
        <v>45875</v>
      </c>
      <c r="E612" t="str">
        <f t="shared" si="74"/>
        <v>August</v>
      </c>
      <c r="F612">
        <f t="shared" si="75"/>
        <v>2025</v>
      </c>
      <c r="G612" s="2">
        <v>45938</v>
      </c>
      <c r="H612" t="s">
        <v>906</v>
      </c>
      <c r="I612">
        <f t="shared" si="76"/>
        <v>63</v>
      </c>
      <c r="J612" t="s">
        <v>2795</v>
      </c>
      <c r="K612" t="s">
        <v>141</v>
      </c>
      <c r="L612" t="s">
        <v>37</v>
      </c>
      <c r="M612" t="s">
        <v>25</v>
      </c>
      <c r="N612" t="s">
        <v>350</v>
      </c>
      <c r="O612" t="s">
        <v>351</v>
      </c>
      <c r="P612" t="s">
        <v>28</v>
      </c>
      <c r="Q612" t="s">
        <v>153</v>
      </c>
      <c r="R612" t="s">
        <v>907</v>
      </c>
      <c r="S612" t="s">
        <v>31</v>
      </c>
      <c r="T612">
        <v>9</v>
      </c>
      <c r="U612">
        <v>4042.45</v>
      </c>
      <c r="V612">
        <v>0.1</v>
      </c>
      <c r="W612">
        <v>0.1</v>
      </c>
      <c r="X612">
        <v>32743.84</v>
      </c>
      <c r="Y612">
        <f t="shared" si="72"/>
        <v>32743.85</v>
      </c>
      <c r="Z612">
        <v>22452.05</v>
      </c>
      <c r="AA612">
        <v>10291.790000000001</v>
      </c>
      <c r="AB612">
        <f t="shared" si="77"/>
        <v>10291.799999999999</v>
      </c>
      <c r="AC612" s="8">
        <f t="shared" si="78"/>
        <v>0.31431245867544594</v>
      </c>
      <c r="AD612" t="s">
        <v>111</v>
      </c>
      <c r="AE612" t="s">
        <v>103</v>
      </c>
      <c r="AF612" t="str">
        <f t="shared" si="79"/>
        <v>Mismatch Found</v>
      </c>
    </row>
    <row r="613" spans="1:32">
      <c r="A613" t="str">
        <f>IF(OR(I613&lt;0, ISTEXT(W613), ISTEXT(Y613)), "Invalid", IF(OR(B613="Conflicting Duplicate", M613="Unknown", S613="Unknown"), "Warning", "Valid"))</f>
        <v>Valid</v>
      </c>
      <c r="B613" t="str">
        <f t="shared" si="73"/>
        <v>-</v>
      </c>
      <c r="C613" t="s">
        <v>914</v>
      </c>
      <c r="D613" s="2">
        <v>45780</v>
      </c>
      <c r="E613" t="str">
        <f t="shared" si="74"/>
        <v>May</v>
      </c>
      <c r="F613">
        <f t="shared" si="75"/>
        <v>2025</v>
      </c>
      <c r="G613" s="2">
        <v>45787</v>
      </c>
      <c r="H613" t="s">
        <v>915</v>
      </c>
      <c r="I613">
        <f t="shared" si="76"/>
        <v>7</v>
      </c>
      <c r="J613" t="s">
        <v>2795</v>
      </c>
      <c r="K613" t="s">
        <v>79</v>
      </c>
      <c r="L613" t="s">
        <v>95</v>
      </c>
      <c r="M613" t="s">
        <v>63</v>
      </c>
      <c r="N613" t="s">
        <v>64</v>
      </c>
      <c r="O613" t="s">
        <v>65</v>
      </c>
      <c r="P613" t="s">
        <v>28</v>
      </c>
      <c r="Q613" t="s">
        <v>124</v>
      </c>
      <c r="R613" t="s">
        <v>916</v>
      </c>
      <c r="S613" t="s">
        <v>31</v>
      </c>
      <c r="T613">
        <v>3</v>
      </c>
      <c r="U613">
        <v>4339.24</v>
      </c>
      <c r="V613">
        <v>0</v>
      </c>
      <c r="W613">
        <v>0</v>
      </c>
      <c r="X613">
        <v>13017.72</v>
      </c>
      <c r="Y613">
        <f t="shared" si="72"/>
        <v>13017.72</v>
      </c>
      <c r="Z613">
        <v>10170.57</v>
      </c>
      <c r="AA613">
        <v>2847.15</v>
      </c>
      <c r="AB613">
        <f t="shared" si="77"/>
        <v>2847.1499999999996</v>
      </c>
      <c r="AC613" s="8">
        <f t="shared" si="78"/>
        <v>0.21871341525244051</v>
      </c>
      <c r="AD613" t="s">
        <v>32</v>
      </c>
      <c r="AE613" t="s">
        <v>33</v>
      </c>
      <c r="AF613" t="str">
        <f t="shared" si="79"/>
        <v>Perfect Match</v>
      </c>
    </row>
    <row r="614" spans="1:32">
      <c r="A614" s="6" t="str">
        <f>IF(OR(I614&lt;0, ISTEXT(W614), ISTEXT(Y614)), "Invalid", IF(OR(B614="Conflicting Duplicate", M614="Unknown", S614="Unknown"), "Warning", "Valid"))</f>
        <v>Invalid</v>
      </c>
      <c r="B614" t="str">
        <f t="shared" si="73"/>
        <v>-</v>
      </c>
      <c r="C614" t="s">
        <v>917</v>
      </c>
      <c r="D614" s="2">
        <v>45805</v>
      </c>
      <c r="E614" t="str">
        <f t="shared" si="74"/>
        <v>May</v>
      </c>
      <c r="F614">
        <f t="shared" si="75"/>
        <v>2025</v>
      </c>
      <c r="G614" s="2">
        <v>45753</v>
      </c>
      <c r="H614" t="s">
        <v>918</v>
      </c>
      <c r="I614" s="7">
        <f t="shared" si="76"/>
        <v>-52</v>
      </c>
      <c r="J614" s="7" t="s">
        <v>2802</v>
      </c>
      <c r="K614" t="s">
        <v>162</v>
      </c>
      <c r="L614" t="s">
        <v>90</v>
      </c>
      <c r="M614" t="s">
        <v>38</v>
      </c>
      <c r="N614" t="s">
        <v>228</v>
      </c>
      <c r="O614" t="s">
        <v>229</v>
      </c>
      <c r="P614" t="s">
        <v>41</v>
      </c>
      <c r="Q614" t="s">
        <v>57</v>
      </c>
      <c r="R614" t="s">
        <v>919</v>
      </c>
      <c r="S614" t="s">
        <v>50</v>
      </c>
      <c r="T614">
        <v>4</v>
      </c>
      <c r="U614">
        <v>261.8</v>
      </c>
      <c r="V614">
        <v>0.25</v>
      </c>
      <c r="W614">
        <v>0.25</v>
      </c>
      <c r="X614">
        <v>785.4</v>
      </c>
      <c r="Y614">
        <f t="shared" si="72"/>
        <v>785.4</v>
      </c>
      <c r="Z614">
        <v>557.22</v>
      </c>
      <c r="AA614">
        <v>228.18</v>
      </c>
      <c r="AB614">
        <f t="shared" si="77"/>
        <v>228.17999999999995</v>
      </c>
      <c r="AC614" s="8">
        <f t="shared" si="78"/>
        <v>0.29052711993888458</v>
      </c>
      <c r="AD614" t="s">
        <v>32</v>
      </c>
      <c r="AE614" t="s">
        <v>33</v>
      </c>
      <c r="AF614" t="str">
        <f t="shared" si="79"/>
        <v>Perfect Match</v>
      </c>
    </row>
    <row r="615" spans="1:32">
      <c r="A615" t="str">
        <f>IF(OR(I615&lt;0, ISTEXT(W615), ISTEXT(Y615)), "Invalid", IF(OR(B615="Conflicting Duplicate", M615="Unknown", S615="Unknown"), "Warning", "Valid"))</f>
        <v>Valid</v>
      </c>
      <c r="B615" t="str">
        <f t="shared" si="73"/>
        <v>-</v>
      </c>
      <c r="C615" t="s">
        <v>920</v>
      </c>
      <c r="D615" s="2">
        <v>45886</v>
      </c>
      <c r="E615" t="str">
        <f t="shared" si="74"/>
        <v>August</v>
      </c>
      <c r="F615">
        <f t="shared" si="75"/>
        <v>2025</v>
      </c>
      <c r="G615" s="2">
        <v>45886</v>
      </c>
      <c r="H615" t="s">
        <v>921</v>
      </c>
      <c r="I615">
        <f t="shared" si="76"/>
        <v>0</v>
      </c>
      <c r="J615" t="s">
        <v>2795</v>
      </c>
      <c r="K615" t="s">
        <v>128</v>
      </c>
      <c r="L615" t="s">
        <v>95</v>
      </c>
      <c r="M615" t="s">
        <v>25</v>
      </c>
      <c r="N615" t="s">
        <v>122</v>
      </c>
      <c r="O615" t="s">
        <v>123</v>
      </c>
      <c r="P615" t="s">
        <v>74</v>
      </c>
      <c r="Q615" t="s">
        <v>75</v>
      </c>
      <c r="R615" t="s">
        <v>922</v>
      </c>
      <c r="S615" t="s">
        <v>50</v>
      </c>
      <c r="T615">
        <v>7</v>
      </c>
      <c r="U615">
        <v>632.20000000000005</v>
      </c>
      <c r="V615">
        <v>0.25</v>
      </c>
      <c r="W615">
        <v>0.25</v>
      </c>
      <c r="X615">
        <v>3319.05</v>
      </c>
      <c r="Y615">
        <f t="shared" si="72"/>
        <v>3319.05</v>
      </c>
      <c r="Z615">
        <v>2124.6</v>
      </c>
      <c r="AA615">
        <v>1194.45</v>
      </c>
      <c r="AB615">
        <f t="shared" si="77"/>
        <v>1194.4500000000003</v>
      </c>
      <c r="AC615" s="8">
        <f t="shared" si="78"/>
        <v>0.35987707325891449</v>
      </c>
      <c r="AD615" t="s">
        <v>32</v>
      </c>
      <c r="AE615" t="s">
        <v>33</v>
      </c>
      <c r="AF615" t="str">
        <f t="shared" si="79"/>
        <v>Perfect Match</v>
      </c>
    </row>
    <row r="616" spans="1:32">
      <c r="A616" t="str">
        <f>IF(OR(I616&lt;0, ISTEXT(W616), ISTEXT(Y616)), "Invalid", IF(OR(B616="Conflicting Duplicate", M616="Unknown", S616="Unknown"), "Warning", "Valid"))</f>
        <v>Valid</v>
      </c>
      <c r="B616" t="str">
        <f t="shared" si="73"/>
        <v>-</v>
      </c>
      <c r="C616" t="s">
        <v>923</v>
      </c>
      <c r="D616" s="2">
        <v>45698</v>
      </c>
      <c r="E616" t="str">
        <f t="shared" si="74"/>
        <v>February</v>
      </c>
      <c r="F616">
        <f t="shared" si="75"/>
        <v>2025</v>
      </c>
      <c r="G616" s="2">
        <v>45700</v>
      </c>
      <c r="H616" t="s">
        <v>924</v>
      </c>
      <c r="I616">
        <f t="shared" si="76"/>
        <v>2</v>
      </c>
      <c r="J616" t="s">
        <v>2795</v>
      </c>
      <c r="K616" t="s">
        <v>118</v>
      </c>
      <c r="L616" t="s">
        <v>37</v>
      </c>
      <c r="M616" t="s">
        <v>63</v>
      </c>
      <c r="N616" t="s">
        <v>26</v>
      </c>
      <c r="O616" t="s">
        <v>109</v>
      </c>
      <c r="P616" t="s">
        <v>41</v>
      </c>
      <c r="Q616" t="s">
        <v>42</v>
      </c>
      <c r="R616" t="s">
        <v>925</v>
      </c>
      <c r="S616" t="s">
        <v>44</v>
      </c>
      <c r="T616">
        <v>1</v>
      </c>
      <c r="U616">
        <v>1925.86</v>
      </c>
      <c r="V616">
        <v>0</v>
      </c>
      <c r="W616">
        <v>0</v>
      </c>
      <c r="X616">
        <v>1925.86</v>
      </c>
      <c r="Y616">
        <f t="shared" si="72"/>
        <v>1925.86</v>
      </c>
      <c r="Z616">
        <v>1321.89</v>
      </c>
      <c r="AA616">
        <v>603.97</v>
      </c>
      <c r="AB616">
        <f t="shared" si="77"/>
        <v>603.9699999999998</v>
      </c>
      <c r="AC616" s="8">
        <f t="shared" si="78"/>
        <v>0.31361054282242729</v>
      </c>
      <c r="AD616" t="s">
        <v>32</v>
      </c>
      <c r="AE616" t="s">
        <v>33</v>
      </c>
      <c r="AF616" t="str">
        <f t="shared" si="79"/>
        <v>Perfect Match</v>
      </c>
    </row>
    <row r="617" spans="1:32">
      <c r="A617" t="str">
        <f>IF(OR(I617&lt;0, ISTEXT(W617), ISTEXT(Y617)), "Invalid", IF(OR(B617="Conflicting Duplicate", M617="Unknown", S617="Unknown"), "Warning", "Valid"))</f>
        <v>Valid</v>
      </c>
      <c r="B617" t="str">
        <f t="shared" si="73"/>
        <v>-</v>
      </c>
      <c r="C617" t="s">
        <v>935</v>
      </c>
      <c r="D617" s="2">
        <v>45701</v>
      </c>
      <c r="E617" t="str">
        <f t="shared" si="74"/>
        <v>February</v>
      </c>
      <c r="F617">
        <f t="shared" si="75"/>
        <v>2025</v>
      </c>
      <c r="G617" s="2">
        <v>45701</v>
      </c>
      <c r="H617" t="s">
        <v>936</v>
      </c>
      <c r="I617">
        <f t="shared" si="76"/>
        <v>0</v>
      </c>
      <c r="J617" t="s">
        <v>2795</v>
      </c>
      <c r="K617" t="s">
        <v>47</v>
      </c>
      <c r="L617" t="s">
        <v>24</v>
      </c>
      <c r="M617" t="s">
        <v>38</v>
      </c>
      <c r="N617" t="s">
        <v>145</v>
      </c>
      <c r="O617" t="s">
        <v>146</v>
      </c>
      <c r="P617" t="s">
        <v>28</v>
      </c>
      <c r="Q617" t="s">
        <v>29</v>
      </c>
      <c r="R617" t="s">
        <v>937</v>
      </c>
      <c r="S617" t="s">
        <v>31</v>
      </c>
      <c r="T617">
        <v>9</v>
      </c>
      <c r="U617">
        <v>2521.63</v>
      </c>
      <c r="V617">
        <v>0</v>
      </c>
      <c r="W617">
        <v>0</v>
      </c>
      <c r="X617">
        <v>22694.67</v>
      </c>
      <c r="Y617">
        <f t="shared" si="72"/>
        <v>22694.67</v>
      </c>
      <c r="Z617">
        <v>15405.36</v>
      </c>
      <c r="AA617">
        <v>7289.31</v>
      </c>
      <c r="AB617">
        <f t="shared" si="77"/>
        <v>7289.3099999999977</v>
      </c>
      <c r="AC617" s="8">
        <f t="shared" si="78"/>
        <v>0.32119039404406402</v>
      </c>
      <c r="AD617" t="s">
        <v>32</v>
      </c>
      <c r="AE617" t="s">
        <v>103</v>
      </c>
      <c r="AF617" t="str">
        <f t="shared" si="79"/>
        <v>Perfect Match</v>
      </c>
    </row>
    <row r="618" spans="1:32">
      <c r="A618" t="str">
        <f>IF(OR(I618&lt;0, ISTEXT(W618), ISTEXT(Y618)), "Invalid", IF(OR(B618="Conflicting Duplicate", M618="Unknown", S618="Unknown"), "Warning", "Valid"))</f>
        <v>Valid</v>
      </c>
      <c r="B618" t="str">
        <f t="shared" si="73"/>
        <v>-</v>
      </c>
      <c r="C618" t="s">
        <v>947</v>
      </c>
      <c r="D618" s="2">
        <v>45812</v>
      </c>
      <c r="E618" t="str">
        <f t="shared" si="74"/>
        <v>June</v>
      </c>
      <c r="F618">
        <f t="shared" si="75"/>
        <v>2025</v>
      </c>
      <c r="G618" s="2">
        <v>45812</v>
      </c>
      <c r="H618" t="s">
        <v>796</v>
      </c>
      <c r="I618">
        <f t="shared" si="76"/>
        <v>0</v>
      </c>
      <c r="J618" t="s">
        <v>2795</v>
      </c>
      <c r="K618" t="s">
        <v>47</v>
      </c>
      <c r="L618" t="s">
        <v>90</v>
      </c>
      <c r="M618" t="s">
        <v>25</v>
      </c>
      <c r="N618" t="s">
        <v>236</v>
      </c>
      <c r="O618" t="s">
        <v>237</v>
      </c>
      <c r="P618" t="s">
        <v>74</v>
      </c>
      <c r="Q618" t="s">
        <v>75</v>
      </c>
      <c r="R618" t="s">
        <v>948</v>
      </c>
      <c r="S618" t="s">
        <v>31</v>
      </c>
      <c r="T618">
        <v>1</v>
      </c>
      <c r="U618">
        <v>2133.73</v>
      </c>
      <c r="V618">
        <v>0.15</v>
      </c>
      <c r="W618">
        <v>0.15</v>
      </c>
      <c r="X618">
        <v>2008.39</v>
      </c>
      <c r="Y618">
        <f t="shared" si="72"/>
        <v>1813.67</v>
      </c>
      <c r="Z618">
        <v>1002.57</v>
      </c>
      <c r="AA618">
        <v>811.1</v>
      </c>
      <c r="AB618">
        <f t="shared" si="77"/>
        <v>811.1</v>
      </c>
      <c r="AC618" s="8">
        <f t="shared" si="78"/>
        <v>0.44721476343546512</v>
      </c>
      <c r="AD618" t="s">
        <v>111</v>
      </c>
      <c r="AE618" t="s">
        <v>68</v>
      </c>
      <c r="AF618" t="str">
        <f t="shared" si="79"/>
        <v>Mismatch Found</v>
      </c>
    </row>
    <row r="619" spans="1:32">
      <c r="A619" s="6" t="str">
        <f>IF(OR(I619&lt;0, ISTEXT(W619), ISTEXT(Y619)), "Invalid", IF(OR(B619="Conflicting Duplicate", M619="Unknown", S619="Unknown"), "Warning", "Valid"))</f>
        <v>Invalid</v>
      </c>
      <c r="B619" t="str">
        <f t="shared" si="73"/>
        <v>-</v>
      </c>
      <c r="C619" t="s">
        <v>949</v>
      </c>
      <c r="D619" s="2">
        <v>45841</v>
      </c>
      <c r="E619" t="str">
        <f t="shared" si="74"/>
        <v>July</v>
      </c>
      <c r="F619">
        <f t="shared" si="75"/>
        <v>2025</v>
      </c>
      <c r="G619" s="2">
        <v>45730</v>
      </c>
      <c r="H619" t="s">
        <v>950</v>
      </c>
      <c r="I619" s="7">
        <f t="shared" si="76"/>
        <v>-111</v>
      </c>
      <c r="J619" s="7" t="s">
        <v>2802</v>
      </c>
      <c r="K619" t="s">
        <v>114</v>
      </c>
      <c r="L619" t="s">
        <v>37</v>
      </c>
      <c r="M619" t="s">
        <v>25</v>
      </c>
      <c r="N619" t="s">
        <v>350</v>
      </c>
      <c r="O619" t="s">
        <v>351</v>
      </c>
      <c r="P619" t="s">
        <v>74</v>
      </c>
      <c r="Q619" t="s">
        <v>75</v>
      </c>
      <c r="R619" t="s">
        <v>951</v>
      </c>
      <c r="S619" t="s">
        <v>44</v>
      </c>
      <c r="T619">
        <v>1</v>
      </c>
      <c r="U619">
        <v>3979.64</v>
      </c>
      <c r="V619">
        <v>0.05</v>
      </c>
      <c r="W619">
        <v>0.05</v>
      </c>
      <c r="X619">
        <v>3780.66</v>
      </c>
      <c r="Y619">
        <f t="shared" si="72"/>
        <v>3780.66</v>
      </c>
      <c r="Z619">
        <v>2148.31</v>
      </c>
      <c r="AA619">
        <v>1632.35</v>
      </c>
      <c r="AB619">
        <f t="shared" si="77"/>
        <v>1632.35</v>
      </c>
      <c r="AC619" s="8">
        <f t="shared" si="78"/>
        <v>0.43176323710674858</v>
      </c>
      <c r="AD619" t="s">
        <v>32</v>
      </c>
      <c r="AE619" t="s">
        <v>103</v>
      </c>
      <c r="AF619" t="str">
        <f t="shared" si="79"/>
        <v>Perfect Match</v>
      </c>
    </row>
    <row r="620" spans="1:32">
      <c r="A620" t="str">
        <f>IF(OR(I620&lt;0, ISTEXT(W620), ISTEXT(Y620)), "Invalid", IF(OR(B620="Conflicting Duplicate", M620="Unknown", S620="Unknown"), "Warning", "Valid"))</f>
        <v>Valid</v>
      </c>
      <c r="B620" t="str">
        <f t="shared" si="73"/>
        <v>-</v>
      </c>
      <c r="C620" t="s">
        <v>958</v>
      </c>
      <c r="D620" s="2">
        <v>45863</v>
      </c>
      <c r="E620" t="str">
        <f t="shared" si="74"/>
        <v>July</v>
      </c>
      <c r="F620">
        <f t="shared" si="75"/>
        <v>2025</v>
      </c>
      <c r="G620" s="2">
        <v>45865</v>
      </c>
      <c r="H620" t="s">
        <v>959</v>
      </c>
      <c r="I620">
        <f t="shared" si="76"/>
        <v>2</v>
      </c>
      <c r="J620" t="s">
        <v>2795</v>
      </c>
      <c r="K620" t="s">
        <v>264</v>
      </c>
      <c r="L620" t="s">
        <v>24</v>
      </c>
      <c r="M620" t="s">
        <v>38</v>
      </c>
      <c r="N620" t="s">
        <v>228</v>
      </c>
      <c r="O620" t="s">
        <v>229</v>
      </c>
      <c r="P620" t="s">
        <v>28</v>
      </c>
      <c r="Q620" t="s">
        <v>153</v>
      </c>
      <c r="R620" t="s">
        <v>960</v>
      </c>
      <c r="S620" t="s">
        <v>31</v>
      </c>
      <c r="T620">
        <v>6</v>
      </c>
      <c r="U620">
        <v>3438.38</v>
      </c>
      <c r="V620">
        <v>0.2</v>
      </c>
      <c r="W620">
        <v>0.2</v>
      </c>
      <c r="X620">
        <v>16504.22</v>
      </c>
      <c r="Y620">
        <f t="shared" si="72"/>
        <v>16504.22</v>
      </c>
      <c r="Z620">
        <v>11262.71</v>
      </c>
      <c r="AA620">
        <v>5241.51</v>
      </c>
      <c r="AB620">
        <f t="shared" si="77"/>
        <v>5241.510000000002</v>
      </c>
      <c r="AC620" s="8">
        <f t="shared" si="78"/>
        <v>0.31758604768962129</v>
      </c>
      <c r="AD620" t="s">
        <v>32</v>
      </c>
      <c r="AE620" t="s">
        <v>33</v>
      </c>
      <c r="AF620" t="str">
        <f t="shared" si="79"/>
        <v>Perfect Match</v>
      </c>
    </row>
    <row r="621" spans="1:32">
      <c r="A621" t="str">
        <f>IF(OR(I621&lt;0, ISTEXT(W621), ISTEXT(Y621)), "Invalid", IF(OR(B621="Conflicting Duplicate", M621="Unknown", S621="Unknown"), "Warning", "Valid"))</f>
        <v>Valid</v>
      </c>
      <c r="B621" t="str">
        <f t="shared" si="73"/>
        <v>-</v>
      </c>
      <c r="C621" t="s">
        <v>964</v>
      </c>
      <c r="D621" s="2">
        <v>45729</v>
      </c>
      <c r="E621" t="str">
        <f t="shared" si="74"/>
        <v>March</v>
      </c>
      <c r="F621">
        <f t="shared" si="75"/>
        <v>2025</v>
      </c>
      <c r="G621" s="2">
        <v>45736</v>
      </c>
      <c r="H621" t="s">
        <v>965</v>
      </c>
      <c r="I621">
        <f t="shared" si="76"/>
        <v>7</v>
      </c>
      <c r="J621" t="s">
        <v>2795</v>
      </c>
      <c r="K621" t="s">
        <v>71</v>
      </c>
      <c r="L621" t="s">
        <v>24</v>
      </c>
      <c r="M621" t="s">
        <v>63</v>
      </c>
      <c r="N621" t="s">
        <v>64</v>
      </c>
      <c r="O621" t="s">
        <v>65</v>
      </c>
      <c r="P621" t="s">
        <v>41</v>
      </c>
      <c r="Q621" t="s">
        <v>57</v>
      </c>
      <c r="R621" t="s">
        <v>966</v>
      </c>
      <c r="S621" t="s">
        <v>50</v>
      </c>
      <c r="T621">
        <v>1</v>
      </c>
      <c r="U621">
        <v>1814.01</v>
      </c>
      <c r="V621">
        <v>0</v>
      </c>
      <c r="W621">
        <v>0</v>
      </c>
      <c r="X621">
        <v>1814.01</v>
      </c>
      <c r="Y621">
        <f t="shared" si="72"/>
        <v>1814.01</v>
      </c>
      <c r="Z621">
        <v>1033.47</v>
      </c>
      <c r="AA621">
        <v>780.54</v>
      </c>
      <c r="AB621">
        <f t="shared" si="77"/>
        <v>780.54</v>
      </c>
      <c r="AC621" s="8">
        <f t="shared" si="78"/>
        <v>0.43028428729720342</v>
      </c>
      <c r="AD621" t="s">
        <v>32</v>
      </c>
      <c r="AE621" t="s">
        <v>33</v>
      </c>
      <c r="AF621" t="str">
        <f t="shared" si="79"/>
        <v>Perfect Match</v>
      </c>
    </row>
    <row r="622" spans="1:32">
      <c r="A622" t="str">
        <f>IF(OR(I622&lt;0, ISTEXT(W622), ISTEXT(Y622)), "Invalid", IF(OR(B622="Conflicting Duplicate", M622="Unknown", S622="Unknown"), "Warning", "Valid"))</f>
        <v>Valid</v>
      </c>
      <c r="B622" t="str">
        <f t="shared" si="73"/>
        <v>-</v>
      </c>
      <c r="C622" t="s">
        <v>970</v>
      </c>
      <c r="D622" s="2">
        <v>45884</v>
      </c>
      <c r="E622" t="str">
        <f t="shared" si="74"/>
        <v>August</v>
      </c>
      <c r="F622">
        <f t="shared" si="75"/>
        <v>2025</v>
      </c>
      <c r="G622" s="2">
        <v>45889</v>
      </c>
      <c r="H622" t="s">
        <v>971</v>
      </c>
      <c r="I622">
        <f t="shared" si="76"/>
        <v>5</v>
      </c>
      <c r="J622" t="s">
        <v>2795</v>
      </c>
      <c r="K622" t="s">
        <v>79</v>
      </c>
      <c r="L622" t="s">
        <v>95</v>
      </c>
      <c r="M622" t="s">
        <v>25</v>
      </c>
      <c r="N622" t="s">
        <v>26</v>
      </c>
      <c r="O622" t="s">
        <v>27</v>
      </c>
      <c r="P622" t="s">
        <v>28</v>
      </c>
      <c r="Q622" t="s">
        <v>124</v>
      </c>
      <c r="R622" t="s">
        <v>972</v>
      </c>
      <c r="S622" t="s">
        <v>59</v>
      </c>
      <c r="T622">
        <v>9</v>
      </c>
      <c r="U622">
        <v>4081.77</v>
      </c>
      <c r="V622">
        <v>0</v>
      </c>
      <c r="W622">
        <v>0</v>
      </c>
      <c r="X622">
        <v>36735.93</v>
      </c>
      <c r="Y622">
        <f t="shared" si="72"/>
        <v>36735.93</v>
      </c>
      <c r="Z622">
        <v>30820.84</v>
      </c>
      <c r="AA622">
        <v>5915.09</v>
      </c>
      <c r="AB622">
        <f t="shared" si="77"/>
        <v>5915.09</v>
      </c>
      <c r="AC622" s="8">
        <f t="shared" si="78"/>
        <v>0.16101647624001897</v>
      </c>
      <c r="AD622" t="s">
        <v>32</v>
      </c>
      <c r="AE622" t="s">
        <v>33</v>
      </c>
      <c r="AF622" t="str">
        <f t="shared" si="79"/>
        <v>Perfect Match</v>
      </c>
    </row>
    <row r="623" spans="1:32">
      <c r="A623" t="str">
        <f>IF(OR(I623&lt;0, ISTEXT(W623), ISTEXT(Y623)), "Invalid", IF(OR(B623="Conflicting Duplicate", M623="Unknown", S623="Unknown"), "Warning", "Valid"))</f>
        <v>Valid</v>
      </c>
      <c r="B623" t="str">
        <f t="shared" si="73"/>
        <v>-</v>
      </c>
      <c r="C623" t="s">
        <v>982</v>
      </c>
      <c r="D623" s="2">
        <v>45827</v>
      </c>
      <c r="E623" t="str">
        <f t="shared" si="74"/>
        <v>June</v>
      </c>
      <c r="F623">
        <f t="shared" si="75"/>
        <v>2025</v>
      </c>
      <c r="G623" s="2">
        <v>45835</v>
      </c>
      <c r="H623" t="s">
        <v>983</v>
      </c>
      <c r="I623">
        <f t="shared" si="76"/>
        <v>8</v>
      </c>
      <c r="J623" t="s">
        <v>2795</v>
      </c>
      <c r="K623" t="s">
        <v>23</v>
      </c>
      <c r="L623" t="s">
        <v>95</v>
      </c>
      <c r="M623" t="s">
        <v>54</v>
      </c>
      <c r="N623" t="s">
        <v>247</v>
      </c>
      <c r="O623" t="s">
        <v>248</v>
      </c>
      <c r="P623" t="s">
        <v>41</v>
      </c>
      <c r="Q623" t="s">
        <v>158</v>
      </c>
      <c r="R623" t="s">
        <v>984</v>
      </c>
      <c r="S623" t="s">
        <v>50</v>
      </c>
      <c r="T623">
        <v>2</v>
      </c>
      <c r="U623">
        <v>4346.6899999999996</v>
      </c>
      <c r="V623">
        <v>0.05</v>
      </c>
      <c r="W623">
        <v>0.05</v>
      </c>
      <c r="X623">
        <v>8258.7099999999991</v>
      </c>
      <c r="Y623">
        <f t="shared" si="72"/>
        <v>8258.7099999999991</v>
      </c>
      <c r="Z623">
        <v>7018.97</v>
      </c>
      <c r="AA623">
        <v>1239.74</v>
      </c>
      <c r="AB623">
        <f t="shared" si="77"/>
        <v>1239.7399999999989</v>
      </c>
      <c r="AC623" s="8">
        <f t="shared" si="78"/>
        <v>0.15011303218057045</v>
      </c>
      <c r="AD623" t="s">
        <v>32</v>
      </c>
      <c r="AE623" t="s">
        <v>33</v>
      </c>
      <c r="AF623" t="str">
        <f t="shared" si="79"/>
        <v>Perfect Match</v>
      </c>
    </row>
    <row r="624" spans="1:32">
      <c r="A624" t="str">
        <f>IF(OR(I624&lt;0, ISTEXT(W624), ISTEXT(Y624)), "Invalid", IF(OR(B624="Conflicting Duplicate", M624="Unknown", S624="Unknown"), "Warning", "Valid"))</f>
        <v>Valid</v>
      </c>
      <c r="B624" t="str">
        <f t="shared" si="73"/>
        <v>-</v>
      </c>
      <c r="C624" t="s">
        <v>985</v>
      </c>
      <c r="D624" s="2">
        <v>45891</v>
      </c>
      <c r="E624" t="str">
        <f t="shared" si="74"/>
        <v>August</v>
      </c>
      <c r="F624">
        <f t="shared" si="75"/>
        <v>2025</v>
      </c>
      <c r="G624" s="2">
        <v>45895</v>
      </c>
      <c r="H624" t="s">
        <v>986</v>
      </c>
      <c r="I624">
        <f t="shared" si="76"/>
        <v>4</v>
      </c>
      <c r="J624" t="s">
        <v>2795</v>
      </c>
      <c r="K624" t="s">
        <v>162</v>
      </c>
      <c r="L624" t="s">
        <v>95</v>
      </c>
      <c r="M624" t="s">
        <v>38</v>
      </c>
      <c r="N624" t="s">
        <v>228</v>
      </c>
      <c r="O624" t="s">
        <v>229</v>
      </c>
      <c r="P624" t="s">
        <v>41</v>
      </c>
      <c r="Q624" t="s">
        <v>42</v>
      </c>
      <c r="R624" t="s">
        <v>987</v>
      </c>
      <c r="S624" t="s">
        <v>59</v>
      </c>
      <c r="T624">
        <v>1</v>
      </c>
      <c r="U624">
        <v>1842.63</v>
      </c>
      <c r="V624">
        <v>0.1</v>
      </c>
      <c r="W624">
        <v>0.1</v>
      </c>
      <c r="X624">
        <v>1658.37</v>
      </c>
      <c r="Y624">
        <f t="shared" si="72"/>
        <v>1658.37</v>
      </c>
      <c r="Z624">
        <v>971.12</v>
      </c>
      <c r="AA624">
        <v>687.25</v>
      </c>
      <c r="AB624">
        <f t="shared" si="77"/>
        <v>687.24999999999989</v>
      </c>
      <c r="AC624" s="8">
        <f t="shared" si="78"/>
        <v>0.41441294765341868</v>
      </c>
      <c r="AD624" t="s">
        <v>32</v>
      </c>
      <c r="AE624" t="s">
        <v>33</v>
      </c>
      <c r="AF624" t="str">
        <f t="shared" si="79"/>
        <v>Perfect Match</v>
      </c>
    </row>
    <row r="625" spans="1:32">
      <c r="A625" t="str">
        <f>IF(OR(I625&lt;0, ISTEXT(W625), ISTEXT(Y625)), "Invalid", IF(OR(B625="Conflicting Duplicate", M625="Unknown", S625="Unknown"), "Warning", "Valid"))</f>
        <v>Valid</v>
      </c>
      <c r="B625" t="str">
        <f t="shared" si="73"/>
        <v>-</v>
      </c>
      <c r="C625" t="s">
        <v>991</v>
      </c>
      <c r="D625" s="2">
        <v>45716</v>
      </c>
      <c r="E625" t="str">
        <f t="shared" si="74"/>
        <v>February</v>
      </c>
      <c r="F625">
        <f t="shared" si="75"/>
        <v>2025</v>
      </c>
      <c r="G625" s="2">
        <v>45719</v>
      </c>
      <c r="H625" t="s">
        <v>992</v>
      </c>
      <c r="I625">
        <f t="shared" si="76"/>
        <v>3</v>
      </c>
      <c r="J625" t="s">
        <v>2795</v>
      </c>
      <c r="K625" t="s">
        <v>264</v>
      </c>
      <c r="L625" t="s">
        <v>95</v>
      </c>
      <c r="M625" t="s">
        <v>25</v>
      </c>
      <c r="N625" t="s">
        <v>236</v>
      </c>
      <c r="O625" t="s">
        <v>237</v>
      </c>
      <c r="P625" t="s">
        <v>28</v>
      </c>
      <c r="Q625" t="s">
        <v>48</v>
      </c>
      <c r="R625" t="s">
        <v>993</v>
      </c>
      <c r="S625" t="s">
        <v>44</v>
      </c>
      <c r="T625">
        <v>9</v>
      </c>
      <c r="U625">
        <v>3748.95</v>
      </c>
      <c r="V625">
        <v>0</v>
      </c>
      <c r="W625">
        <v>0</v>
      </c>
      <c r="X625">
        <v>33740.550000000003</v>
      </c>
      <c r="Y625">
        <f t="shared" si="72"/>
        <v>33740.550000000003</v>
      </c>
      <c r="Z625">
        <v>24621.89</v>
      </c>
      <c r="AA625">
        <v>9118.66</v>
      </c>
      <c r="AB625">
        <f t="shared" si="77"/>
        <v>9118.6600000000035</v>
      </c>
      <c r="AC625" s="8">
        <f t="shared" si="78"/>
        <v>0.27025819081194596</v>
      </c>
      <c r="AD625" t="s">
        <v>111</v>
      </c>
      <c r="AE625" t="s">
        <v>68</v>
      </c>
      <c r="AF625" t="str">
        <f t="shared" si="79"/>
        <v>Perfect Match</v>
      </c>
    </row>
    <row r="626" spans="1:32">
      <c r="A626" t="str">
        <f>IF(OR(I626&lt;0, ISTEXT(W626), ISTEXT(Y626)), "Invalid", IF(OR(B626="Conflicting Duplicate", M626="Unknown", S626="Unknown"), "Warning", "Valid"))</f>
        <v>Valid</v>
      </c>
      <c r="B626" t="str">
        <f t="shared" si="73"/>
        <v>-</v>
      </c>
      <c r="C626" t="s">
        <v>997</v>
      </c>
      <c r="D626" s="2">
        <v>45854</v>
      </c>
      <c r="E626" t="str">
        <f t="shared" si="74"/>
        <v>July</v>
      </c>
      <c r="F626">
        <f t="shared" si="75"/>
        <v>2025</v>
      </c>
      <c r="G626" s="2">
        <v>45860</v>
      </c>
      <c r="H626" t="s">
        <v>998</v>
      </c>
      <c r="I626">
        <f t="shared" si="76"/>
        <v>6</v>
      </c>
      <c r="J626" t="s">
        <v>2795</v>
      </c>
      <c r="K626" t="s">
        <v>114</v>
      </c>
      <c r="L626" t="s">
        <v>24</v>
      </c>
      <c r="M626" t="s">
        <v>38</v>
      </c>
      <c r="N626" t="s">
        <v>39</v>
      </c>
      <c r="O626" t="s">
        <v>40</v>
      </c>
      <c r="P626" t="s">
        <v>74</v>
      </c>
      <c r="Q626" t="s">
        <v>171</v>
      </c>
      <c r="R626" t="s">
        <v>999</v>
      </c>
      <c r="S626" t="s">
        <v>31</v>
      </c>
      <c r="T626">
        <v>6</v>
      </c>
      <c r="U626">
        <v>4159.33</v>
      </c>
      <c r="V626">
        <v>0.25</v>
      </c>
      <c r="W626">
        <v>0.25</v>
      </c>
      <c r="X626">
        <v>18716.990000000002</v>
      </c>
      <c r="Y626">
        <f t="shared" si="72"/>
        <v>18716.990000000002</v>
      </c>
      <c r="Z626">
        <v>12282.43</v>
      </c>
      <c r="AA626">
        <v>6434.56</v>
      </c>
      <c r="AB626">
        <f t="shared" si="77"/>
        <v>6434.5600000000013</v>
      </c>
      <c r="AC626" s="8">
        <f t="shared" si="78"/>
        <v>0.34378177260339404</v>
      </c>
      <c r="AD626" t="s">
        <v>32</v>
      </c>
      <c r="AE626" t="s">
        <v>103</v>
      </c>
      <c r="AF626" t="str">
        <f t="shared" si="79"/>
        <v>Perfect Match</v>
      </c>
    </row>
    <row r="627" spans="1:32">
      <c r="A627" t="str">
        <f>IF(OR(I627&lt;0, ISTEXT(W627), ISTEXT(Y627)), "Invalid", IF(OR(B627="Conflicting Duplicate", M627="Unknown", S627="Unknown"), "Warning", "Valid"))</f>
        <v>Valid</v>
      </c>
      <c r="B627" t="str">
        <f t="shared" si="73"/>
        <v>-</v>
      </c>
      <c r="C627" t="s">
        <v>1000</v>
      </c>
      <c r="D627" s="2">
        <v>45833</v>
      </c>
      <c r="E627" t="str">
        <f t="shared" si="74"/>
        <v>June</v>
      </c>
      <c r="F627">
        <f t="shared" si="75"/>
        <v>2025</v>
      </c>
      <c r="G627" s="2">
        <v>45836</v>
      </c>
      <c r="H627" t="s">
        <v>1001</v>
      </c>
      <c r="I627">
        <f t="shared" si="76"/>
        <v>3</v>
      </c>
      <c r="J627" t="s">
        <v>2795</v>
      </c>
      <c r="K627" t="s">
        <v>89</v>
      </c>
      <c r="L627" t="s">
        <v>37</v>
      </c>
      <c r="M627" t="s">
        <v>38</v>
      </c>
      <c r="N627" t="s">
        <v>166</v>
      </c>
      <c r="O627" t="s">
        <v>167</v>
      </c>
      <c r="P627" t="s">
        <v>28</v>
      </c>
      <c r="Q627" t="s">
        <v>153</v>
      </c>
      <c r="R627" t="s">
        <v>1002</v>
      </c>
      <c r="S627" t="s">
        <v>59</v>
      </c>
      <c r="T627">
        <v>3</v>
      </c>
      <c r="U627">
        <v>3476.05</v>
      </c>
      <c r="V627">
        <v>0.1</v>
      </c>
      <c r="W627">
        <v>0.1</v>
      </c>
      <c r="X627">
        <v>9385.34</v>
      </c>
      <c r="Y627">
        <f t="shared" si="72"/>
        <v>9385.34</v>
      </c>
      <c r="Z627">
        <v>5828.54</v>
      </c>
      <c r="AA627">
        <v>3556.8</v>
      </c>
      <c r="AB627">
        <f t="shared" si="77"/>
        <v>3556.8</v>
      </c>
      <c r="AC627" s="8">
        <f t="shared" si="78"/>
        <v>0.37897401692426702</v>
      </c>
      <c r="AD627" t="s">
        <v>32</v>
      </c>
      <c r="AE627" t="s">
        <v>33</v>
      </c>
      <c r="AF627" t="str">
        <f t="shared" si="79"/>
        <v>Perfect Match</v>
      </c>
    </row>
    <row r="628" spans="1:32">
      <c r="A628" t="str">
        <f>IF(OR(I628&lt;0, ISTEXT(W628), ISTEXT(Y628)), "Invalid", IF(OR(B628="Conflicting Duplicate", M628="Unknown", S628="Unknown"), "Warning", "Valid"))</f>
        <v>Valid</v>
      </c>
      <c r="B628" t="str">
        <f t="shared" si="73"/>
        <v>-</v>
      </c>
      <c r="C628" t="s">
        <v>1003</v>
      </c>
      <c r="D628" s="2">
        <v>45801</v>
      </c>
      <c r="E628" t="str">
        <f t="shared" si="74"/>
        <v>May</v>
      </c>
      <c r="F628">
        <f t="shared" si="75"/>
        <v>2025</v>
      </c>
      <c r="G628" s="2">
        <v>45803</v>
      </c>
      <c r="H628" t="s">
        <v>1004</v>
      </c>
      <c r="I628">
        <f t="shared" si="76"/>
        <v>2</v>
      </c>
      <c r="J628" t="s">
        <v>2795</v>
      </c>
      <c r="K628" t="s">
        <v>89</v>
      </c>
      <c r="L628" t="s">
        <v>95</v>
      </c>
      <c r="M628" t="s">
        <v>25</v>
      </c>
      <c r="N628" t="s">
        <v>236</v>
      </c>
      <c r="O628" t="s">
        <v>237</v>
      </c>
      <c r="P628" t="s">
        <v>41</v>
      </c>
      <c r="Q628" t="s">
        <v>57</v>
      </c>
      <c r="R628" t="s">
        <v>1005</v>
      </c>
      <c r="S628" t="s">
        <v>44</v>
      </c>
      <c r="T628">
        <v>6</v>
      </c>
      <c r="U628">
        <v>3495.41</v>
      </c>
      <c r="V628">
        <v>0.15</v>
      </c>
      <c r="W628">
        <v>0.15</v>
      </c>
      <c r="X628">
        <v>17826.59</v>
      </c>
      <c r="Y628">
        <f t="shared" si="72"/>
        <v>17826.59</v>
      </c>
      <c r="Z628">
        <v>10855.35</v>
      </c>
      <c r="AA628">
        <v>6971.24</v>
      </c>
      <c r="AB628">
        <f t="shared" si="77"/>
        <v>6971.24</v>
      </c>
      <c r="AC628" s="8">
        <f t="shared" si="78"/>
        <v>0.39105852549478054</v>
      </c>
      <c r="AD628" t="s">
        <v>32</v>
      </c>
      <c r="AE628" t="s">
        <v>33</v>
      </c>
      <c r="AF628" t="str">
        <f t="shared" si="79"/>
        <v>Perfect Match</v>
      </c>
    </row>
    <row r="629" spans="1:32">
      <c r="A629" t="str">
        <f>IF(OR(I629&lt;0, ISTEXT(W629), ISTEXT(Y629)), "Invalid", IF(OR(B629="Conflicting Duplicate", M629="Unknown", S629="Unknown"), "Warning", "Valid"))</f>
        <v>Valid</v>
      </c>
      <c r="B629" t="str">
        <f t="shared" si="73"/>
        <v>-</v>
      </c>
      <c r="C629" t="s">
        <v>1009</v>
      </c>
      <c r="D629" s="2">
        <v>45680</v>
      </c>
      <c r="E629" t="str">
        <f t="shared" si="74"/>
        <v>January</v>
      </c>
      <c r="F629">
        <f t="shared" si="75"/>
        <v>2025</v>
      </c>
      <c r="G629" s="2">
        <v>45683</v>
      </c>
      <c r="H629" t="s">
        <v>1010</v>
      </c>
      <c r="I629">
        <f t="shared" si="76"/>
        <v>3</v>
      </c>
      <c r="J629" t="s">
        <v>2795</v>
      </c>
      <c r="K629" t="s">
        <v>47</v>
      </c>
      <c r="L629" t="s">
        <v>24</v>
      </c>
      <c r="M629" t="s">
        <v>54</v>
      </c>
      <c r="N629" t="s">
        <v>185</v>
      </c>
      <c r="O629" t="s">
        <v>186</v>
      </c>
      <c r="P629" t="s">
        <v>74</v>
      </c>
      <c r="Q629" t="s">
        <v>80</v>
      </c>
      <c r="R629" t="s">
        <v>1011</v>
      </c>
      <c r="S629" t="s">
        <v>50</v>
      </c>
      <c r="T629">
        <v>7</v>
      </c>
      <c r="U629">
        <v>348.49</v>
      </c>
      <c r="V629">
        <v>0.2</v>
      </c>
      <c r="W629">
        <v>0.2</v>
      </c>
      <c r="X629">
        <v>1951.54</v>
      </c>
      <c r="Y629">
        <f t="shared" si="72"/>
        <v>1951.54</v>
      </c>
      <c r="Z629">
        <v>1609.95</v>
      </c>
      <c r="AA629">
        <v>341.59</v>
      </c>
      <c r="AB629">
        <f t="shared" si="77"/>
        <v>341.58999999999992</v>
      </c>
      <c r="AC629" s="8">
        <f t="shared" si="78"/>
        <v>0.17503612531641674</v>
      </c>
      <c r="AD629" t="s">
        <v>155</v>
      </c>
      <c r="AE629" t="s">
        <v>103</v>
      </c>
      <c r="AF629" t="str">
        <f t="shared" si="79"/>
        <v>Perfect Match</v>
      </c>
    </row>
    <row r="630" spans="1:32">
      <c r="A630" s="6" t="str">
        <f>IF(OR(I630&lt;0, ISTEXT(W630), ISTEXT(Y630)), "Invalid", IF(OR(B630="Conflicting Duplicate", M630="Unknown", S630="Unknown"), "Warning", "Valid"))</f>
        <v>Invalid</v>
      </c>
      <c r="B630" t="str">
        <f t="shared" si="73"/>
        <v>-</v>
      </c>
      <c r="C630" t="s">
        <v>1018</v>
      </c>
      <c r="D630" s="2">
        <v>45805</v>
      </c>
      <c r="E630" t="str">
        <f t="shared" si="74"/>
        <v>May</v>
      </c>
      <c r="F630">
        <f t="shared" si="75"/>
        <v>2025</v>
      </c>
      <c r="G630" s="2">
        <v>45663</v>
      </c>
      <c r="H630" t="s">
        <v>1019</v>
      </c>
      <c r="I630" s="7">
        <f t="shared" si="76"/>
        <v>-142</v>
      </c>
      <c r="J630" s="7" t="s">
        <v>2802</v>
      </c>
      <c r="K630" t="s">
        <v>47</v>
      </c>
      <c r="L630" t="s">
        <v>95</v>
      </c>
      <c r="M630" t="s">
        <v>38</v>
      </c>
      <c r="N630" t="s">
        <v>145</v>
      </c>
      <c r="O630" t="s">
        <v>146</v>
      </c>
      <c r="P630" t="s">
        <v>74</v>
      </c>
      <c r="Q630" t="s">
        <v>171</v>
      </c>
      <c r="R630" t="s">
        <v>1020</v>
      </c>
      <c r="S630" t="s">
        <v>44</v>
      </c>
      <c r="T630">
        <v>4</v>
      </c>
      <c r="U630">
        <v>1654.11</v>
      </c>
      <c r="V630">
        <v>0.05</v>
      </c>
      <c r="W630">
        <v>0.05</v>
      </c>
      <c r="X630">
        <v>6285.62</v>
      </c>
      <c r="Y630">
        <f t="shared" si="72"/>
        <v>6285.62</v>
      </c>
      <c r="Z630">
        <v>3705.38</v>
      </c>
      <c r="AA630">
        <v>2580.2399999999998</v>
      </c>
      <c r="AB630">
        <f t="shared" si="77"/>
        <v>2580.2399999999998</v>
      </c>
      <c r="AC630" s="8">
        <f t="shared" si="78"/>
        <v>0.41049888475599861</v>
      </c>
      <c r="AD630" t="s">
        <v>32</v>
      </c>
      <c r="AE630" t="s">
        <v>33</v>
      </c>
      <c r="AF630" t="str">
        <f t="shared" si="79"/>
        <v>Perfect Match</v>
      </c>
    </row>
    <row r="631" spans="1:32">
      <c r="A631" t="str">
        <f>IF(OR(I631&lt;0, ISTEXT(W631), ISTEXT(Y631)), "Invalid", IF(OR(B631="Conflicting Duplicate", M631="Unknown", S631="Unknown"), "Warning", "Valid"))</f>
        <v>Valid</v>
      </c>
      <c r="B631" t="str">
        <f t="shared" si="73"/>
        <v>-</v>
      </c>
      <c r="C631" t="s">
        <v>1021</v>
      </c>
      <c r="D631" s="2">
        <v>45753</v>
      </c>
      <c r="E631" t="str">
        <f t="shared" si="74"/>
        <v>April</v>
      </c>
      <c r="F631">
        <f t="shared" si="75"/>
        <v>2025</v>
      </c>
      <c r="G631" s="2">
        <v>45820</v>
      </c>
      <c r="H631" t="s">
        <v>1022</v>
      </c>
      <c r="I631">
        <f t="shared" si="76"/>
        <v>67</v>
      </c>
      <c r="J631" t="s">
        <v>2795</v>
      </c>
      <c r="K631" t="s">
        <v>79</v>
      </c>
      <c r="L631" t="s">
        <v>24</v>
      </c>
      <c r="M631" t="s">
        <v>63</v>
      </c>
      <c r="N631" t="s">
        <v>190</v>
      </c>
      <c r="O631" t="s">
        <v>191</v>
      </c>
      <c r="P631" t="s">
        <v>612</v>
      </c>
      <c r="Q631" t="s">
        <v>124</v>
      </c>
      <c r="R631" t="s">
        <v>1023</v>
      </c>
      <c r="S631" t="s">
        <v>44</v>
      </c>
      <c r="T631">
        <v>2</v>
      </c>
      <c r="U631">
        <v>2703.28</v>
      </c>
      <c r="V631">
        <v>0.25</v>
      </c>
      <c r="W631">
        <v>0.25</v>
      </c>
      <c r="X631">
        <v>4054.92</v>
      </c>
      <c r="Y631">
        <f t="shared" si="72"/>
        <v>4054.92</v>
      </c>
      <c r="Z631">
        <v>2424.83</v>
      </c>
      <c r="AA631">
        <v>1630.09</v>
      </c>
      <c r="AB631">
        <f t="shared" si="77"/>
        <v>1630.0900000000001</v>
      </c>
      <c r="AC631" s="8">
        <f t="shared" si="78"/>
        <v>0.40200299882611745</v>
      </c>
      <c r="AD631" t="s">
        <v>32</v>
      </c>
      <c r="AE631" t="s">
        <v>33</v>
      </c>
      <c r="AF631" t="str">
        <f t="shared" si="79"/>
        <v>Perfect Match</v>
      </c>
    </row>
    <row r="632" spans="1:32">
      <c r="A632" t="str">
        <f>IF(OR(I632&lt;0, ISTEXT(W632), ISTEXT(Y632)), "Invalid", IF(OR(B632="Conflicting Duplicate", M632="Unknown", S632="Unknown"), "Warning", "Valid"))</f>
        <v>Valid</v>
      </c>
      <c r="B632" t="str">
        <f t="shared" si="73"/>
        <v>-</v>
      </c>
      <c r="C632" t="s">
        <v>1033</v>
      </c>
      <c r="D632" s="2">
        <v>45708</v>
      </c>
      <c r="E632" t="str">
        <f t="shared" si="74"/>
        <v>February</v>
      </c>
      <c r="F632">
        <f t="shared" si="75"/>
        <v>2025</v>
      </c>
      <c r="G632" s="2">
        <v>45711</v>
      </c>
      <c r="H632" t="s">
        <v>1034</v>
      </c>
      <c r="I632">
        <f t="shared" si="76"/>
        <v>3</v>
      </c>
      <c r="J632" t="s">
        <v>2795</v>
      </c>
      <c r="K632" t="s">
        <v>128</v>
      </c>
      <c r="L632" t="s">
        <v>24</v>
      </c>
      <c r="M632" t="s">
        <v>25</v>
      </c>
      <c r="N632" t="s">
        <v>26</v>
      </c>
      <c r="O632" t="s">
        <v>27</v>
      </c>
      <c r="P632" t="s">
        <v>74</v>
      </c>
      <c r="Q632" t="s">
        <v>171</v>
      </c>
      <c r="R632" t="s">
        <v>1035</v>
      </c>
      <c r="S632" t="s">
        <v>31</v>
      </c>
      <c r="T632">
        <v>4</v>
      </c>
      <c r="U632">
        <v>3673.11</v>
      </c>
      <c r="V632">
        <v>0</v>
      </c>
      <c r="W632">
        <v>0</v>
      </c>
      <c r="X632">
        <v>14692.44</v>
      </c>
      <c r="Y632">
        <f t="shared" si="72"/>
        <v>14692.44</v>
      </c>
      <c r="Z632">
        <v>10082.19</v>
      </c>
      <c r="AA632">
        <v>4610.25</v>
      </c>
      <c r="AB632">
        <f t="shared" si="77"/>
        <v>4610.25</v>
      </c>
      <c r="AC632" s="8">
        <f t="shared" si="78"/>
        <v>0.31378382351740075</v>
      </c>
      <c r="AD632" t="s">
        <v>32</v>
      </c>
      <c r="AE632" t="s">
        <v>33</v>
      </c>
      <c r="AF632" t="str">
        <f t="shared" si="79"/>
        <v>Perfect Match</v>
      </c>
    </row>
    <row r="633" spans="1:32">
      <c r="A633" t="str">
        <f>IF(OR(I633&lt;0, ISTEXT(W633), ISTEXT(Y633)), "Invalid", IF(OR(B633="Conflicting Duplicate", M633="Unknown", S633="Unknown"), "Warning", "Valid"))</f>
        <v>Valid</v>
      </c>
      <c r="B633" t="str">
        <f t="shared" si="73"/>
        <v>-</v>
      </c>
      <c r="C633" t="s">
        <v>1036</v>
      </c>
      <c r="D633" s="2">
        <v>45850</v>
      </c>
      <c r="E633" t="str">
        <f t="shared" si="74"/>
        <v>July</v>
      </c>
      <c r="F633">
        <f t="shared" si="75"/>
        <v>2025</v>
      </c>
      <c r="G633" s="2">
        <v>45857</v>
      </c>
      <c r="H633" t="s">
        <v>1037</v>
      </c>
      <c r="I633">
        <f t="shared" si="76"/>
        <v>7</v>
      </c>
      <c r="J633" t="s">
        <v>2795</v>
      </c>
      <c r="K633" t="s">
        <v>62</v>
      </c>
      <c r="L633" t="s">
        <v>90</v>
      </c>
      <c r="M633" t="s">
        <v>25</v>
      </c>
      <c r="N633" t="s">
        <v>136</v>
      </c>
      <c r="O633" t="s">
        <v>137</v>
      </c>
      <c r="P633" t="s">
        <v>41</v>
      </c>
      <c r="Q633" t="s">
        <v>42</v>
      </c>
      <c r="R633" t="s">
        <v>1038</v>
      </c>
      <c r="S633" t="s">
        <v>50</v>
      </c>
      <c r="T633">
        <v>9</v>
      </c>
      <c r="U633">
        <v>4093.04</v>
      </c>
      <c r="V633">
        <v>0.2</v>
      </c>
      <c r="W633">
        <v>0.2</v>
      </c>
      <c r="X633">
        <v>29469.89</v>
      </c>
      <c r="Y633">
        <f t="shared" si="72"/>
        <v>29469.89</v>
      </c>
      <c r="Z633">
        <v>18935.509999999998</v>
      </c>
      <c r="AA633">
        <v>10534.38</v>
      </c>
      <c r="AB633">
        <f t="shared" si="77"/>
        <v>10534.380000000001</v>
      </c>
      <c r="AC633" s="8">
        <f t="shared" si="78"/>
        <v>0.35746248119690982</v>
      </c>
      <c r="AD633" t="s">
        <v>1039</v>
      </c>
      <c r="AE633" t="s">
        <v>68</v>
      </c>
      <c r="AF633" t="str">
        <f t="shared" si="79"/>
        <v>Perfect Match</v>
      </c>
    </row>
    <row r="634" spans="1:32">
      <c r="A634" t="str">
        <f>IF(OR(I634&lt;0, ISTEXT(W634), ISTEXT(Y634)), "Invalid", IF(OR(B634="Conflicting Duplicate", M634="Unknown", S634="Unknown"), "Warning", "Valid"))</f>
        <v>Valid</v>
      </c>
      <c r="B634" t="str">
        <f t="shared" si="73"/>
        <v>-</v>
      </c>
      <c r="C634" t="s">
        <v>1040</v>
      </c>
      <c r="D634" s="2">
        <v>45821</v>
      </c>
      <c r="E634" t="str">
        <f t="shared" si="74"/>
        <v>June</v>
      </c>
      <c r="F634">
        <f t="shared" si="75"/>
        <v>2025</v>
      </c>
      <c r="G634" s="2">
        <v>45827</v>
      </c>
      <c r="H634" t="s">
        <v>1041</v>
      </c>
      <c r="I634">
        <f t="shared" si="76"/>
        <v>6</v>
      </c>
      <c r="J634" t="s">
        <v>2795</v>
      </c>
      <c r="K634" t="s">
        <v>141</v>
      </c>
      <c r="L634" t="s">
        <v>24</v>
      </c>
      <c r="M634" t="s">
        <v>25</v>
      </c>
      <c r="N634" t="s">
        <v>26</v>
      </c>
      <c r="O634" t="s">
        <v>27</v>
      </c>
      <c r="P634" t="s">
        <v>41</v>
      </c>
      <c r="Q634" t="s">
        <v>42</v>
      </c>
      <c r="R634" t="s">
        <v>1042</v>
      </c>
      <c r="S634" t="s">
        <v>50</v>
      </c>
      <c r="T634">
        <v>4</v>
      </c>
      <c r="U634">
        <v>731.57</v>
      </c>
      <c r="V634">
        <v>0.2</v>
      </c>
      <c r="W634">
        <v>0.2</v>
      </c>
      <c r="X634">
        <v>2341.02</v>
      </c>
      <c r="Y634">
        <f t="shared" si="72"/>
        <v>2341.02</v>
      </c>
      <c r="Z634">
        <v>1565.49</v>
      </c>
      <c r="AA634">
        <v>775.53</v>
      </c>
      <c r="AB634">
        <f t="shared" si="77"/>
        <v>775.53</v>
      </c>
      <c r="AC634" s="8">
        <f t="shared" si="78"/>
        <v>0.33127867339877487</v>
      </c>
      <c r="AD634" t="s">
        <v>32</v>
      </c>
      <c r="AE634" t="s">
        <v>33</v>
      </c>
      <c r="AF634" t="str">
        <f t="shared" si="79"/>
        <v>Perfect Match</v>
      </c>
    </row>
    <row r="635" spans="1:32">
      <c r="A635" t="str">
        <f>IF(OR(I635&lt;0, ISTEXT(W635), ISTEXT(Y635)), "Invalid", IF(OR(B635="Conflicting Duplicate", M635="Unknown", S635="Unknown"), "Warning", "Valid"))</f>
        <v>Valid</v>
      </c>
      <c r="B635" t="str">
        <f t="shared" si="73"/>
        <v>-</v>
      </c>
      <c r="C635" t="s">
        <v>1055</v>
      </c>
      <c r="D635" s="2">
        <v>45807</v>
      </c>
      <c r="E635" t="str">
        <f t="shared" si="74"/>
        <v>May</v>
      </c>
      <c r="F635">
        <f t="shared" si="75"/>
        <v>2025</v>
      </c>
      <c r="G635" s="2">
        <v>45808</v>
      </c>
      <c r="H635" t="s">
        <v>1056</v>
      </c>
      <c r="I635">
        <f t="shared" si="76"/>
        <v>1</v>
      </c>
      <c r="J635" t="s">
        <v>2795</v>
      </c>
      <c r="K635" t="s">
        <v>118</v>
      </c>
      <c r="L635" t="s">
        <v>90</v>
      </c>
      <c r="M635" t="s">
        <v>25</v>
      </c>
      <c r="N635" t="s">
        <v>136</v>
      </c>
      <c r="O635" t="s">
        <v>137</v>
      </c>
      <c r="P635" t="s">
        <v>74</v>
      </c>
      <c r="Q635" t="s">
        <v>171</v>
      </c>
      <c r="R635" t="s">
        <v>1057</v>
      </c>
      <c r="S635" t="s">
        <v>50</v>
      </c>
      <c r="T635">
        <v>8</v>
      </c>
      <c r="U635">
        <v>2081.4299999999998</v>
      </c>
      <c r="V635">
        <v>0.25</v>
      </c>
      <c r="W635">
        <v>0.25</v>
      </c>
      <c r="X635">
        <v>12488.58</v>
      </c>
      <c r="Y635">
        <f t="shared" si="72"/>
        <v>12488.58</v>
      </c>
      <c r="Z635">
        <v>10717.4</v>
      </c>
      <c r="AA635">
        <v>1771.18</v>
      </c>
      <c r="AB635">
        <f t="shared" si="77"/>
        <v>1771.1800000000003</v>
      </c>
      <c r="AC635" s="8">
        <f t="shared" si="78"/>
        <v>0.14182397037933858</v>
      </c>
      <c r="AD635" t="s">
        <v>102</v>
      </c>
      <c r="AE635" t="s">
        <v>68</v>
      </c>
      <c r="AF635" t="str">
        <f t="shared" si="79"/>
        <v>Perfect Match</v>
      </c>
    </row>
    <row r="636" spans="1:32">
      <c r="A636" s="6" t="str">
        <f>IF(OR(I636&lt;0, ISTEXT(W636), ISTEXT(Y636)), "Invalid", IF(OR(B636="Conflicting Duplicate", M636="Unknown", S636="Unknown"), "Warning", "Valid"))</f>
        <v>Warning</v>
      </c>
      <c r="B636" t="str">
        <f t="shared" si="73"/>
        <v>Conflicting Duplicate</v>
      </c>
      <c r="C636" t="s">
        <v>1058</v>
      </c>
      <c r="D636" s="2">
        <v>45795</v>
      </c>
      <c r="E636" t="str">
        <f t="shared" si="74"/>
        <v>May</v>
      </c>
      <c r="F636">
        <f t="shared" si="75"/>
        <v>2025</v>
      </c>
      <c r="G636" s="2">
        <v>45797</v>
      </c>
      <c r="H636" t="s">
        <v>1059</v>
      </c>
      <c r="I636">
        <f t="shared" si="76"/>
        <v>2</v>
      </c>
      <c r="J636" t="s">
        <v>2795</v>
      </c>
      <c r="K636" t="s">
        <v>47</v>
      </c>
      <c r="L636" t="s">
        <v>90</v>
      </c>
      <c r="M636" t="s">
        <v>63</v>
      </c>
      <c r="N636" t="s">
        <v>72</v>
      </c>
      <c r="O636" t="s">
        <v>73</v>
      </c>
      <c r="P636" t="s">
        <v>28</v>
      </c>
      <c r="Q636" t="s">
        <v>91</v>
      </c>
      <c r="R636" t="s">
        <v>1060</v>
      </c>
      <c r="S636" t="s">
        <v>59</v>
      </c>
      <c r="T636">
        <v>9</v>
      </c>
      <c r="U636">
        <v>847.76</v>
      </c>
      <c r="V636">
        <v>0.15</v>
      </c>
      <c r="W636">
        <v>0.15</v>
      </c>
      <c r="X636">
        <v>6485.36</v>
      </c>
      <c r="Y636">
        <f t="shared" si="72"/>
        <v>6485.36</v>
      </c>
      <c r="Z636">
        <v>5376.17</v>
      </c>
      <c r="AA636">
        <v>1109.19</v>
      </c>
      <c r="AB636">
        <f t="shared" si="77"/>
        <v>1109.1899999999996</v>
      </c>
      <c r="AC636" s="8">
        <f t="shared" si="78"/>
        <v>0.17102982717998688</v>
      </c>
      <c r="AD636" t="s">
        <v>155</v>
      </c>
      <c r="AE636" t="s">
        <v>103</v>
      </c>
      <c r="AF636" t="str">
        <f t="shared" si="79"/>
        <v>Perfect Match</v>
      </c>
    </row>
    <row r="637" spans="1:32">
      <c r="A637" s="6" t="str">
        <f>IF(OR(I637&lt;0, ISTEXT(W637), ISTEXT(Y637)), "Invalid", IF(OR(B637="Conflicting Duplicate", M637="Unknown", S637="Unknown"), "Warning", "Valid"))</f>
        <v>Warning</v>
      </c>
      <c r="B637" t="str">
        <f t="shared" si="73"/>
        <v>Conflicting Duplicate</v>
      </c>
      <c r="C637" t="s">
        <v>1058</v>
      </c>
      <c r="D637" s="2">
        <v>45795</v>
      </c>
      <c r="E637" t="str">
        <f t="shared" si="74"/>
        <v>May</v>
      </c>
      <c r="F637">
        <f t="shared" si="75"/>
        <v>2025</v>
      </c>
      <c r="G637" s="2">
        <v>45797</v>
      </c>
      <c r="H637" t="s">
        <v>1059</v>
      </c>
      <c r="I637">
        <f t="shared" si="76"/>
        <v>2</v>
      </c>
      <c r="J637" t="s">
        <v>2795</v>
      </c>
      <c r="K637" t="s">
        <v>47</v>
      </c>
      <c r="L637" t="s">
        <v>90</v>
      </c>
      <c r="M637" t="s">
        <v>63</v>
      </c>
      <c r="N637" t="s">
        <v>72</v>
      </c>
      <c r="O637" t="s">
        <v>73</v>
      </c>
      <c r="P637" t="s">
        <v>28</v>
      </c>
      <c r="Q637" t="s">
        <v>91</v>
      </c>
      <c r="R637" t="s">
        <v>1060</v>
      </c>
      <c r="S637" t="s">
        <v>59</v>
      </c>
      <c r="T637">
        <v>9</v>
      </c>
      <c r="U637">
        <v>847.76</v>
      </c>
      <c r="V637">
        <v>0.15</v>
      </c>
      <c r="W637">
        <v>0.15</v>
      </c>
      <c r="X637">
        <v>6589.37</v>
      </c>
      <c r="Y637">
        <f t="shared" si="72"/>
        <v>6485.36</v>
      </c>
      <c r="Z637">
        <v>5376.17</v>
      </c>
      <c r="AA637">
        <v>1109.19</v>
      </c>
      <c r="AB637">
        <f t="shared" si="77"/>
        <v>1109.1899999999996</v>
      </c>
      <c r="AC637" s="8">
        <f t="shared" si="78"/>
        <v>0.17102982717998688</v>
      </c>
      <c r="AD637" t="s">
        <v>155</v>
      </c>
      <c r="AE637" t="s">
        <v>33</v>
      </c>
      <c r="AF637" t="str">
        <f t="shared" si="79"/>
        <v>Mismatch Found</v>
      </c>
    </row>
    <row r="638" spans="1:32">
      <c r="A638" t="str">
        <f>IF(OR(I638&lt;0, ISTEXT(W638), ISTEXT(Y638)), "Invalid", IF(OR(B638="Conflicting Duplicate", M638="Unknown", S638="Unknown"), "Warning", "Valid"))</f>
        <v>Valid</v>
      </c>
      <c r="B638" t="str">
        <f t="shared" si="73"/>
        <v>-</v>
      </c>
      <c r="C638" t="s">
        <v>1067</v>
      </c>
      <c r="D638" s="2">
        <v>45898</v>
      </c>
      <c r="E638" t="str">
        <f t="shared" si="74"/>
        <v>August</v>
      </c>
      <c r="F638">
        <f t="shared" si="75"/>
        <v>2025</v>
      </c>
      <c r="G638" s="2">
        <v>45904</v>
      </c>
      <c r="H638" t="s">
        <v>1068</v>
      </c>
      <c r="I638">
        <f t="shared" si="76"/>
        <v>6</v>
      </c>
      <c r="J638" t="s">
        <v>2795</v>
      </c>
      <c r="K638" t="s">
        <v>79</v>
      </c>
      <c r="L638" t="s">
        <v>90</v>
      </c>
      <c r="M638" t="s">
        <v>54</v>
      </c>
      <c r="N638" t="s">
        <v>185</v>
      </c>
      <c r="O638" t="s">
        <v>186</v>
      </c>
      <c r="P638" t="s">
        <v>41</v>
      </c>
      <c r="Q638" t="s">
        <v>42</v>
      </c>
      <c r="R638" t="s">
        <v>1069</v>
      </c>
      <c r="S638" t="s">
        <v>50</v>
      </c>
      <c r="T638">
        <v>9</v>
      </c>
      <c r="U638">
        <v>2996.97</v>
      </c>
      <c r="V638">
        <v>0.15</v>
      </c>
      <c r="W638">
        <v>0.15</v>
      </c>
      <c r="X638">
        <v>22926.82</v>
      </c>
      <c r="Y638">
        <f t="shared" si="72"/>
        <v>22926.82</v>
      </c>
      <c r="Z638">
        <v>14621.59</v>
      </c>
      <c r="AA638">
        <v>8305.23</v>
      </c>
      <c r="AB638">
        <f t="shared" si="77"/>
        <v>8305.23</v>
      </c>
      <c r="AC638" s="8">
        <f t="shared" si="78"/>
        <v>0.36224954005832471</v>
      </c>
      <c r="AD638" t="s">
        <v>32</v>
      </c>
      <c r="AE638" t="s">
        <v>33</v>
      </c>
      <c r="AF638" t="str">
        <f t="shared" si="79"/>
        <v>Perfect Match</v>
      </c>
    </row>
    <row r="639" spans="1:32">
      <c r="A639" s="6" t="str">
        <f>IF(OR(I639&lt;0, ISTEXT(W639), ISTEXT(Y639)), "Invalid", IF(OR(B639="Conflicting Duplicate", M639="Unknown", S639="Unknown"), "Warning", "Valid"))</f>
        <v>Invalid</v>
      </c>
      <c r="B639" t="str">
        <f t="shared" si="73"/>
        <v>-</v>
      </c>
      <c r="C639" t="s">
        <v>1087</v>
      </c>
      <c r="D639" s="2">
        <v>45869</v>
      </c>
      <c r="E639" t="str">
        <f t="shared" si="74"/>
        <v>July</v>
      </c>
      <c r="F639">
        <f t="shared" si="75"/>
        <v>2025</v>
      </c>
      <c r="G639" s="2">
        <v>45696</v>
      </c>
      <c r="H639" t="s">
        <v>1088</v>
      </c>
      <c r="I639" s="7">
        <f t="shared" si="76"/>
        <v>-173</v>
      </c>
      <c r="J639" s="7" t="s">
        <v>2802</v>
      </c>
      <c r="K639" t="s">
        <v>141</v>
      </c>
      <c r="L639" t="s">
        <v>95</v>
      </c>
      <c r="M639" t="s">
        <v>54</v>
      </c>
      <c r="N639" t="s">
        <v>84</v>
      </c>
      <c r="O639" t="s">
        <v>85</v>
      </c>
      <c r="P639" t="s">
        <v>28</v>
      </c>
      <c r="Q639" t="s">
        <v>91</v>
      </c>
      <c r="R639" t="s">
        <v>1089</v>
      </c>
      <c r="S639" t="s">
        <v>44</v>
      </c>
      <c r="T639">
        <v>1</v>
      </c>
      <c r="U639">
        <v>1947.88</v>
      </c>
      <c r="V639">
        <v>0.15</v>
      </c>
      <c r="W639">
        <v>0.15</v>
      </c>
      <c r="X639">
        <v>1655.7</v>
      </c>
      <c r="Y639">
        <f t="shared" si="72"/>
        <v>1655.7</v>
      </c>
      <c r="Z639">
        <v>1354.8</v>
      </c>
      <c r="AA639">
        <v>300.89999999999998</v>
      </c>
      <c r="AB639">
        <f t="shared" si="77"/>
        <v>300.90000000000009</v>
      </c>
      <c r="AC639" s="8">
        <f t="shared" si="78"/>
        <v>0.181735821706831</v>
      </c>
      <c r="AD639" t="s">
        <v>32</v>
      </c>
      <c r="AE639" t="s">
        <v>103</v>
      </c>
      <c r="AF639" t="str">
        <f t="shared" si="79"/>
        <v>Perfect Match</v>
      </c>
    </row>
    <row r="640" spans="1:32">
      <c r="A640" t="str">
        <f>IF(OR(I640&lt;0, ISTEXT(W640), ISTEXT(Y640)), "Invalid", IF(OR(B640="Conflicting Duplicate", M640="Unknown", S640="Unknown"), "Warning", "Valid"))</f>
        <v>Valid</v>
      </c>
      <c r="B640" t="str">
        <f t="shared" si="73"/>
        <v>-</v>
      </c>
      <c r="C640" t="s">
        <v>1090</v>
      </c>
      <c r="D640" s="2">
        <v>45916</v>
      </c>
      <c r="E640" t="str">
        <f t="shared" si="74"/>
        <v>September</v>
      </c>
      <c r="F640">
        <f t="shared" si="75"/>
        <v>2025</v>
      </c>
      <c r="G640" s="2">
        <v>45922</v>
      </c>
      <c r="H640" t="s">
        <v>1091</v>
      </c>
      <c r="I640">
        <f t="shared" si="76"/>
        <v>6</v>
      </c>
      <c r="J640" t="s">
        <v>2795</v>
      </c>
      <c r="K640" t="s">
        <v>132</v>
      </c>
      <c r="L640" t="s">
        <v>95</v>
      </c>
      <c r="M640" t="s">
        <v>38</v>
      </c>
      <c r="N640" t="s">
        <v>99</v>
      </c>
      <c r="O640" t="s">
        <v>100</v>
      </c>
      <c r="P640" t="s">
        <v>74</v>
      </c>
      <c r="Q640" t="s">
        <v>80</v>
      </c>
      <c r="R640" t="s">
        <v>1092</v>
      </c>
      <c r="S640" t="s">
        <v>31</v>
      </c>
      <c r="T640">
        <v>5</v>
      </c>
      <c r="U640">
        <v>3671.2</v>
      </c>
      <c r="V640">
        <v>0.15</v>
      </c>
      <c r="W640">
        <v>0.15</v>
      </c>
      <c r="X640">
        <v>15602.6</v>
      </c>
      <c r="Y640">
        <f t="shared" si="72"/>
        <v>15602.6</v>
      </c>
      <c r="Z640">
        <v>11908.52</v>
      </c>
      <c r="AA640">
        <v>3694.08</v>
      </c>
      <c r="AB640">
        <f t="shared" si="77"/>
        <v>3694.08</v>
      </c>
      <c r="AC640" s="8">
        <f t="shared" si="78"/>
        <v>0.236760539910015</v>
      </c>
      <c r="AD640" t="s">
        <v>32</v>
      </c>
      <c r="AE640" t="s">
        <v>33</v>
      </c>
      <c r="AF640" t="str">
        <f t="shared" si="79"/>
        <v>Perfect Match</v>
      </c>
    </row>
    <row r="641" spans="1:32">
      <c r="A641" t="str">
        <f>IF(OR(I641&lt;0, ISTEXT(W641), ISTEXT(Y641)), "Invalid", IF(OR(B641="Conflicting Duplicate", M641="Unknown", S641="Unknown"), "Warning", "Valid"))</f>
        <v>Valid</v>
      </c>
      <c r="B641" t="str">
        <f t="shared" si="73"/>
        <v>-</v>
      </c>
      <c r="C641" t="s">
        <v>1093</v>
      </c>
      <c r="D641" s="2">
        <v>45860</v>
      </c>
      <c r="E641" t="str">
        <f t="shared" si="74"/>
        <v>July</v>
      </c>
      <c r="F641">
        <f t="shared" si="75"/>
        <v>2025</v>
      </c>
      <c r="G641" s="2">
        <v>45860</v>
      </c>
      <c r="H641" t="s">
        <v>1094</v>
      </c>
      <c r="I641">
        <f t="shared" si="76"/>
        <v>0</v>
      </c>
      <c r="J641" t="s">
        <v>2795</v>
      </c>
      <c r="K641" t="s">
        <v>132</v>
      </c>
      <c r="L641" t="s">
        <v>90</v>
      </c>
      <c r="M641" t="s">
        <v>38</v>
      </c>
      <c r="N641" t="s">
        <v>228</v>
      </c>
      <c r="O641" t="s">
        <v>229</v>
      </c>
      <c r="P641" t="s">
        <v>41</v>
      </c>
      <c r="Q641" t="s">
        <v>57</v>
      </c>
      <c r="R641" t="s">
        <v>1095</v>
      </c>
      <c r="S641" t="s">
        <v>44</v>
      </c>
      <c r="T641">
        <v>5</v>
      </c>
      <c r="U641">
        <v>3187.05</v>
      </c>
      <c r="V641">
        <v>0.05</v>
      </c>
      <c r="W641">
        <v>0.05</v>
      </c>
      <c r="X641">
        <v>15138.49</v>
      </c>
      <c r="Y641">
        <f t="shared" si="72"/>
        <v>15138.49</v>
      </c>
      <c r="Z641">
        <v>11235.72</v>
      </c>
      <c r="AA641">
        <v>3902.77</v>
      </c>
      <c r="AB641">
        <f t="shared" si="77"/>
        <v>3902.7700000000004</v>
      </c>
      <c r="AC641" s="8">
        <f t="shared" si="78"/>
        <v>0.25780444416847392</v>
      </c>
      <c r="AD641" t="s">
        <v>32</v>
      </c>
      <c r="AE641" t="s">
        <v>33</v>
      </c>
      <c r="AF641" t="str">
        <f t="shared" si="79"/>
        <v>Perfect Match</v>
      </c>
    </row>
    <row r="642" spans="1:32">
      <c r="A642" t="str">
        <f>IF(OR(I642&lt;0, ISTEXT(W642), ISTEXT(Y642)), "Invalid", IF(OR(B642="Conflicting Duplicate", M642="Unknown", S642="Unknown"), "Warning", "Valid"))</f>
        <v>Valid</v>
      </c>
      <c r="B642" t="str">
        <f t="shared" si="73"/>
        <v>-</v>
      </c>
      <c r="C642" t="s">
        <v>1099</v>
      </c>
      <c r="D642" s="2">
        <v>45806</v>
      </c>
      <c r="E642" t="str">
        <f t="shared" si="74"/>
        <v>May</v>
      </c>
      <c r="F642">
        <f t="shared" si="75"/>
        <v>2025</v>
      </c>
      <c r="G642" s="2">
        <v>45812</v>
      </c>
      <c r="H642" t="s">
        <v>1100</v>
      </c>
      <c r="I642">
        <f t="shared" si="76"/>
        <v>6</v>
      </c>
      <c r="J642" t="s">
        <v>2795</v>
      </c>
      <c r="K642" t="s">
        <v>162</v>
      </c>
      <c r="L642" t="s">
        <v>24</v>
      </c>
      <c r="M642" t="s">
        <v>63</v>
      </c>
      <c r="N642" t="s">
        <v>64</v>
      </c>
      <c r="O642" t="s">
        <v>65</v>
      </c>
      <c r="P642" t="s">
        <v>28</v>
      </c>
      <c r="Q642" t="s">
        <v>124</v>
      </c>
      <c r="R642" t="s">
        <v>1101</v>
      </c>
      <c r="S642" t="s">
        <v>50</v>
      </c>
      <c r="T642">
        <v>6</v>
      </c>
      <c r="U642">
        <v>3100.68</v>
      </c>
      <c r="V642">
        <v>0</v>
      </c>
      <c r="W642">
        <v>0</v>
      </c>
      <c r="X642">
        <v>18604.080000000002</v>
      </c>
      <c r="Y642">
        <f t="shared" ref="Y642:Y705" si="80">IF(ISTEXT(W642), "Cannot Calculate", ROUND(T642 * U642 * (1 - W642), 2))</f>
        <v>18604.080000000002</v>
      </c>
      <c r="Z642">
        <v>15834.3</v>
      </c>
      <c r="AA642">
        <v>2769.78</v>
      </c>
      <c r="AB642">
        <f t="shared" si="77"/>
        <v>2769.7800000000025</v>
      </c>
      <c r="AC642" s="8">
        <f t="shared" si="78"/>
        <v>0.14888024562354077</v>
      </c>
      <c r="AD642" t="s">
        <v>32</v>
      </c>
      <c r="AE642" t="s">
        <v>33</v>
      </c>
      <c r="AF642" t="str">
        <f t="shared" si="79"/>
        <v>Perfect Match</v>
      </c>
    </row>
    <row r="643" spans="1:32">
      <c r="A643" t="str">
        <f>IF(OR(I643&lt;0, ISTEXT(W643), ISTEXT(Y643)), "Invalid", IF(OR(B643="Conflicting Duplicate", M643="Unknown", S643="Unknown"), "Warning", "Valid"))</f>
        <v>Valid</v>
      </c>
      <c r="B643" t="str">
        <f t="shared" ref="B643:B706" si="81">IF(COUNTIF(C:C, C643)&gt;1, "Conflicting Duplicate", "-")</f>
        <v>-</v>
      </c>
      <c r="C643" t="s">
        <v>1102</v>
      </c>
      <c r="D643" s="2">
        <v>45789</v>
      </c>
      <c r="E643" t="str">
        <f t="shared" ref="E643:E706" si="82">TEXT(D643, "mmmm")</f>
        <v>May</v>
      </c>
      <c r="F643">
        <f t="shared" ref="F643:F706" si="83">YEAR(D643)</f>
        <v>2025</v>
      </c>
      <c r="G643" s="2">
        <v>45795</v>
      </c>
      <c r="H643" t="s">
        <v>1103</v>
      </c>
      <c r="I643">
        <f t="shared" ref="I643:I706" si="84">G643-D643</f>
        <v>6</v>
      </c>
      <c r="J643" t="s">
        <v>2795</v>
      </c>
      <c r="K643" t="s">
        <v>79</v>
      </c>
      <c r="L643" t="s">
        <v>37</v>
      </c>
      <c r="M643" t="s">
        <v>63</v>
      </c>
      <c r="N643" t="s">
        <v>64</v>
      </c>
      <c r="O643" t="s">
        <v>65</v>
      </c>
      <c r="P643" t="s">
        <v>28</v>
      </c>
      <c r="Q643" t="s">
        <v>124</v>
      </c>
      <c r="R643" t="s">
        <v>1104</v>
      </c>
      <c r="S643" t="s">
        <v>59</v>
      </c>
      <c r="T643">
        <v>4</v>
      </c>
      <c r="U643">
        <v>4053.03</v>
      </c>
      <c r="V643">
        <v>0.05</v>
      </c>
      <c r="W643">
        <v>0.05</v>
      </c>
      <c r="X643">
        <v>15401.51</v>
      </c>
      <c r="Y643">
        <f t="shared" si="80"/>
        <v>15401.51</v>
      </c>
      <c r="Z643">
        <v>8650.42</v>
      </c>
      <c r="AA643">
        <v>6751.09</v>
      </c>
      <c r="AB643">
        <f t="shared" ref="AB643:AB706" si="85">IF(ISTEXT(Y643), "Cannot Calculate", Y643 - Z643)</f>
        <v>6751.09</v>
      </c>
      <c r="AC643" s="8">
        <f t="shared" ref="AC643:AC706" si="86">IFERROR(AB643 / Y643, 0)</f>
        <v>0.4383394874918109</v>
      </c>
      <c r="AD643" t="s">
        <v>32</v>
      </c>
      <c r="AE643" t="s">
        <v>33</v>
      </c>
      <c r="AF643" t="str">
        <f t="shared" ref="AF643:AF706" si="87">IF(OR(ISTEXT(Z643), ISTEXT(AB643)), "Calculation Blocked", IF(OR(ROUND(X643, 2) &lt;&gt; ROUND(Y643, 2), ROUND(AA643, 2) &lt;&gt; ROUND(AB643, 2)), "Mismatch Found", "Perfect Match"))</f>
        <v>Perfect Match</v>
      </c>
    </row>
    <row r="644" spans="1:32">
      <c r="A644" t="str">
        <f>IF(OR(I644&lt;0, ISTEXT(W644), ISTEXT(Y644)), "Invalid", IF(OR(B644="Conflicting Duplicate", M644="Unknown", S644="Unknown"), "Warning", "Valid"))</f>
        <v>Valid</v>
      </c>
      <c r="B644" t="str">
        <f t="shared" si="81"/>
        <v>-</v>
      </c>
      <c r="C644" t="s">
        <v>1111</v>
      </c>
      <c r="D644" s="2">
        <v>45804</v>
      </c>
      <c r="E644" t="str">
        <f t="shared" si="82"/>
        <v>May</v>
      </c>
      <c r="F644">
        <f t="shared" si="83"/>
        <v>2025</v>
      </c>
      <c r="G644" s="2">
        <v>45805</v>
      </c>
      <c r="H644" t="s">
        <v>1112</v>
      </c>
      <c r="I644">
        <f t="shared" si="84"/>
        <v>1</v>
      </c>
      <c r="J644" t="s">
        <v>2795</v>
      </c>
      <c r="K644" t="s">
        <v>128</v>
      </c>
      <c r="L644" t="s">
        <v>24</v>
      </c>
      <c r="M644" t="s">
        <v>54</v>
      </c>
      <c r="N644" t="s">
        <v>84</v>
      </c>
      <c r="O644" t="s">
        <v>85</v>
      </c>
      <c r="P644" t="s">
        <v>74</v>
      </c>
      <c r="Q644" t="s">
        <v>1113</v>
      </c>
      <c r="R644" t="s">
        <v>1114</v>
      </c>
      <c r="S644" t="s">
        <v>31</v>
      </c>
      <c r="T644">
        <v>2</v>
      </c>
      <c r="U644">
        <v>3911.96</v>
      </c>
      <c r="V644">
        <v>0</v>
      </c>
      <c r="W644">
        <v>0</v>
      </c>
      <c r="X644">
        <v>7823.92</v>
      </c>
      <c r="Y644">
        <f t="shared" si="80"/>
        <v>7823.92</v>
      </c>
      <c r="Z644">
        <v>6034.63</v>
      </c>
      <c r="AA644">
        <v>1789.29</v>
      </c>
      <c r="AB644">
        <f t="shared" si="85"/>
        <v>1789.29</v>
      </c>
      <c r="AC644" s="8">
        <f t="shared" si="86"/>
        <v>0.22869482305545047</v>
      </c>
      <c r="AD644" t="s">
        <v>32</v>
      </c>
      <c r="AE644" t="s">
        <v>33</v>
      </c>
      <c r="AF644" t="str">
        <f t="shared" si="87"/>
        <v>Perfect Match</v>
      </c>
    </row>
    <row r="645" spans="1:32">
      <c r="A645" s="6" t="str">
        <f>IF(OR(I645&lt;0, ISTEXT(W645), ISTEXT(Y645)), "Invalid", IF(OR(B645="Conflicting Duplicate", M645="Unknown", S645="Unknown"), "Warning", "Valid"))</f>
        <v>Warning</v>
      </c>
      <c r="B645" t="str">
        <f t="shared" si="81"/>
        <v>-</v>
      </c>
      <c r="C645" t="s">
        <v>1115</v>
      </c>
      <c r="D645" s="2">
        <v>45830</v>
      </c>
      <c r="E645" t="str">
        <f t="shared" si="82"/>
        <v>June</v>
      </c>
      <c r="F645">
        <f t="shared" si="83"/>
        <v>2025</v>
      </c>
      <c r="G645" s="2">
        <v>45835</v>
      </c>
      <c r="H645" t="s">
        <v>1116</v>
      </c>
      <c r="I645">
        <f t="shared" si="84"/>
        <v>5</v>
      </c>
      <c r="J645" t="s">
        <v>2795</v>
      </c>
      <c r="K645" t="s">
        <v>141</v>
      </c>
      <c r="L645" t="s">
        <v>95</v>
      </c>
      <c r="M645" s="4" t="s">
        <v>2790</v>
      </c>
      <c r="N645" t="s">
        <v>350</v>
      </c>
      <c r="O645" t="s">
        <v>351</v>
      </c>
      <c r="P645" t="s">
        <v>74</v>
      </c>
      <c r="Q645" t="s">
        <v>171</v>
      </c>
      <c r="R645" t="s">
        <v>1117</v>
      </c>
      <c r="S645" t="s">
        <v>50</v>
      </c>
      <c r="T645">
        <v>2</v>
      </c>
      <c r="U645">
        <v>1468.05</v>
      </c>
      <c r="V645">
        <v>0</v>
      </c>
      <c r="W645">
        <v>0</v>
      </c>
      <c r="X645">
        <v>2936.1</v>
      </c>
      <c r="Y645">
        <f t="shared" si="80"/>
        <v>2936.1</v>
      </c>
      <c r="Z645">
        <v>1923.1</v>
      </c>
      <c r="AA645">
        <v>1013</v>
      </c>
      <c r="AB645">
        <f t="shared" si="85"/>
        <v>1013</v>
      </c>
      <c r="AC645" s="8">
        <f t="shared" si="86"/>
        <v>0.34501549674738602</v>
      </c>
      <c r="AD645" t="s">
        <v>32</v>
      </c>
      <c r="AE645" t="s">
        <v>33</v>
      </c>
      <c r="AF645" t="str">
        <f t="shared" si="87"/>
        <v>Perfect Match</v>
      </c>
    </row>
    <row r="646" spans="1:32">
      <c r="A646" s="6" t="str">
        <f>IF(OR(I646&lt;0, ISTEXT(W646), ISTEXT(Y646)), "Invalid", IF(OR(B646="Conflicting Duplicate", M646="Unknown", S646="Unknown"), "Warning", "Valid"))</f>
        <v>Warning</v>
      </c>
      <c r="B646" t="str">
        <f t="shared" si="81"/>
        <v>Conflicting Duplicate</v>
      </c>
      <c r="C646" t="s">
        <v>1121</v>
      </c>
      <c r="D646" s="2">
        <v>45824</v>
      </c>
      <c r="E646" t="str">
        <f t="shared" si="82"/>
        <v>June</v>
      </c>
      <c r="F646">
        <f t="shared" si="83"/>
        <v>2025</v>
      </c>
      <c r="G646" s="2">
        <v>45826</v>
      </c>
      <c r="H646" t="s">
        <v>1122</v>
      </c>
      <c r="I646">
        <f t="shared" si="84"/>
        <v>2</v>
      </c>
      <c r="J646" t="s">
        <v>2795</v>
      </c>
      <c r="K646" t="s">
        <v>118</v>
      </c>
      <c r="L646" t="s">
        <v>95</v>
      </c>
      <c r="M646" t="s">
        <v>63</v>
      </c>
      <c r="N646" t="s">
        <v>72</v>
      </c>
      <c r="O646" t="s">
        <v>73</v>
      </c>
      <c r="P646" t="s">
        <v>28</v>
      </c>
      <c r="Q646" t="s">
        <v>29</v>
      </c>
      <c r="R646" t="s">
        <v>1123</v>
      </c>
      <c r="S646" t="s">
        <v>50</v>
      </c>
      <c r="T646">
        <v>3</v>
      </c>
      <c r="U646">
        <v>4289.37</v>
      </c>
      <c r="V646">
        <v>0.1</v>
      </c>
      <c r="W646">
        <v>0.1</v>
      </c>
      <c r="X646">
        <v>11581.3</v>
      </c>
      <c r="Y646">
        <f t="shared" si="80"/>
        <v>11581.3</v>
      </c>
      <c r="Z646">
        <v>6829.43</v>
      </c>
      <c r="AA646">
        <v>4751.87</v>
      </c>
      <c r="AB646">
        <f t="shared" si="85"/>
        <v>4751.869999999999</v>
      </c>
      <c r="AC646" s="8">
        <f t="shared" si="86"/>
        <v>0.41030540612884558</v>
      </c>
      <c r="AD646" t="s">
        <v>32</v>
      </c>
      <c r="AE646" t="s">
        <v>33</v>
      </c>
      <c r="AF646" t="str">
        <f t="shared" si="87"/>
        <v>Perfect Match</v>
      </c>
    </row>
    <row r="647" spans="1:32">
      <c r="A647" s="6" t="str">
        <f>IF(OR(I647&lt;0, ISTEXT(W647), ISTEXT(Y647)), "Invalid", IF(OR(B647="Conflicting Duplicate", M647="Unknown", S647="Unknown"), "Warning", "Valid"))</f>
        <v>Warning</v>
      </c>
      <c r="B647" t="str">
        <f t="shared" si="81"/>
        <v>Conflicting Duplicate</v>
      </c>
      <c r="C647" t="s">
        <v>1121</v>
      </c>
      <c r="D647" s="2">
        <v>45824</v>
      </c>
      <c r="E647" t="str">
        <f t="shared" si="82"/>
        <v>June</v>
      </c>
      <c r="F647">
        <f t="shared" si="83"/>
        <v>2025</v>
      </c>
      <c r="G647" s="2">
        <v>45826</v>
      </c>
      <c r="H647" t="s">
        <v>1122</v>
      </c>
      <c r="I647">
        <f t="shared" si="84"/>
        <v>2</v>
      </c>
      <c r="J647" t="s">
        <v>2795</v>
      </c>
      <c r="K647" t="s">
        <v>118</v>
      </c>
      <c r="L647" t="s">
        <v>95</v>
      </c>
      <c r="M647" t="s">
        <v>63</v>
      </c>
      <c r="N647" t="s">
        <v>72</v>
      </c>
      <c r="O647" t="s">
        <v>73</v>
      </c>
      <c r="P647" t="s">
        <v>28</v>
      </c>
      <c r="Q647" t="s">
        <v>29</v>
      </c>
      <c r="R647" t="s">
        <v>1123</v>
      </c>
      <c r="S647" t="s">
        <v>50</v>
      </c>
      <c r="T647">
        <v>3</v>
      </c>
      <c r="U647">
        <v>4289.37</v>
      </c>
      <c r="V647">
        <v>0.1</v>
      </c>
      <c r="W647">
        <v>0.1</v>
      </c>
      <c r="X647">
        <v>11778.71</v>
      </c>
      <c r="Y647">
        <f t="shared" si="80"/>
        <v>11581.3</v>
      </c>
      <c r="Z647">
        <v>6829.43</v>
      </c>
      <c r="AA647">
        <v>4751.87</v>
      </c>
      <c r="AB647">
        <f t="shared" si="85"/>
        <v>4751.869999999999</v>
      </c>
      <c r="AC647" s="8">
        <f t="shared" si="86"/>
        <v>0.41030540612884558</v>
      </c>
      <c r="AD647" t="s">
        <v>32</v>
      </c>
      <c r="AE647" t="s">
        <v>103</v>
      </c>
      <c r="AF647" t="str">
        <f t="shared" si="87"/>
        <v>Mismatch Found</v>
      </c>
    </row>
    <row r="648" spans="1:32">
      <c r="A648" t="str">
        <f>IF(OR(I648&lt;0, ISTEXT(W648), ISTEXT(Y648)), "Invalid", IF(OR(B648="Conflicting Duplicate", M648="Unknown", S648="Unknown"), "Warning", "Valid"))</f>
        <v>Valid</v>
      </c>
      <c r="B648" t="str">
        <f t="shared" si="81"/>
        <v>-</v>
      </c>
      <c r="C648" t="s">
        <v>1132</v>
      </c>
      <c r="D648" s="2">
        <v>45708</v>
      </c>
      <c r="E648" t="str">
        <f t="shared" si="82"/>
        <v>February</v>
      </c>
      <c r="F648">
        <f t="shared" si="83"/>
        <v>2025</v>
      </c>
      <c r="G648" s="2">
        <v>45710</v>
      </c>
      <c r="H648" t="s">
        <v>1133</v>
      </c>
      <c r="I648">
        <f t="shared" si="84"/>
        <v>2</v>
      </c>
      <c r="J648" t="s">
        <v>2795</v>
      </c>
      <c r="K648" t="s">
        <v>79</v>
      </c>
      <c r="L648" t="s">
        <v>90</v>
      </c>
      <c r="M648" t="s">
        <v>38</v>
      </c>
      <c r="N648" t="s">
        <v>228</v>
      </c>
      <c r="O648" t="s">
        <v>229</v>
      </c>
      <c r="P648" t="s">
        <v>41</v>
      </c>
      <c r="Q648" t="s">
        <v>158</v>
      </c>
      <c r="R648" t="s">
        <v>1134</v>
      </c>
      <c r="S648" t="s">
        <v>59</v>
      </c>
      <c r="T648">
        <v>8</v>
      </c>
      <c r="U648">
        <v>3265.76</v>
      </c>
      <c r="V648">
        <v>0.2</v>
      </c>
      <c r="W648">
        <v>0.2</v>
      </c>
      <c r="X648">
        <v>20900.86</v>
      </c>
      <c r="Y648">
        <f t="shared" si="80"/>
        <v>20900.86</v>
      </c>
      <c r="Z648">
        <v>12513.14</v>
      </c>
      <c r="AA648">
        <v>8387.7199999999993</v>
      </c>
      <c r="AB648">
        <f t="shared" si="85"/>
        <v>8387.7200000000012</v>
      </c>
      <c r="AC648" s="8">
        <f t="shared" si="86"/>
        <v>0.40130980256314819</v>
      </c>
      <c r="AD648" t="s">
        <v>32</v>
      </c>
      <c r="AE648" t="s">
        <v>33</v>
      </c>
      <c r="AF648" t="str">
        <f t="shared" si="87"/>
        <v>Perfect Match</v>
      </c>
    </row>
    <row r="649" spans="1:32">
      <c r="A649" t="str">
        <f>IF(OR(I649&lt;0, ISTEXT(W649), ISTEXT(Y649)), "Invalid", IF(OR(B649="Conflicting Duplicate", M649="Unknown", S649="Unknown"), "Warning", "Valid"))</f>
        <v>Valid</v>
      </c>
      <c r="B649" t="str">
        <f t="shared" si="81"/>
        <v>-</v>
      </c>
      <c r="C649" t="s">
        <v>1138</v>
      </c>
      <c r="D649" s="2">
        <v>45908</v>
      </c>
      <c r="E649" t="str">
        <f t="shared" si="82"/>
        <v>September</v>
      </c>
      <c r="F649">
        <f t="shared" si="83"/>
        <v>2025</v>
      </c>
      <c r="G649" s="2">
        <v>45909</v>
      </c>
      <c r="H649" t="s">
        <v>1139</v>
      </c>
      <c r="I649">
        <f t="shared" si="84"/>
        <v>1</v>
      </c>
      <c r="J649" t="s">
        <v>2795</v>
      </c>
      <c r="K649" t="s">
        <v>141</v>
      </c>
      <c r="L649" t="s">
        <v>95</v>
      </c>
      <c r="M649" t="s">
        <v>63</v>
      </c>
      <c r="N649" t="s">
        <v>180</v>
      </c>
      <c r="O649" t="s">
        <v>181</v>
      </c>
      <c r="P649" t="s">
        <v>41</v>
      </c>
      <c r="Q649" t="s">
        <v>66</v>
      </c>
      <c r="R649" t="s">
        <v>1140</v>
      </c>
      <c r="S649" t="s">
        <v>31</v>
      </c>
      <c r="T649">
        <v>2</v>
      </c>
      <c r="U649">
        <v>3960.33</v>
      </c>
      <c r="V649">
        <v>0.05</v>
      </c>
      <c r="W649">
        <v>0.05</v>
      </c>
      <c r="X649">
        <v>7524.63</v>
      </c>
      <c r="Y649">
        <f t="shared" si="80"/>
        <v>7524.63</v>
      </c>
      <c r="Z649">
        <v>6229.6</v>
      </c>
      <c r="AA649">
        <v>1295.03</v>
      </c>
      <c r="AB649">
        <f t="shared" si="85"/>
        <v>1295.0299999999997</v>
      </c>
      <c r="AC649" s="8">
        <f t="shared" si="86"/>
        <v>0.17210547229564771</v>
      </c>
      <c r="AD649" t="s">
        <v>32</v>
      </c>
      <c r="AE649" t="s">
        <v>33</v>
      </c>
      <c r="AF649" t="str">
        <f t="shared" si="87"/>
        <v>Perfect Match</v>
      </c>
    </row>
    <row r="650" spans="1:32">
      <c r="A650" s="6" t="str">
        <f>IF(OR(I650&lt;0, ISTEXT(W650), ISTEXT(Y650)), "Invalid", IF(OR(B650="Conflicting Duplicate", M650="Unknown", S650="Unknown"), "Warning", "Valid"))</f>
        <v>Invalid</v>
      </c>
      <c r="B650" t="str">
        <f t="shared" si="81"/>
        <v>-</v>
      </c>
      <c r="C650" t="s">
        <v>1141</v>
      </c>
      <c r="D650" s="2">
        <v>45862</v>
      </c>
      <c r="E650" t="str">
        <f t="shared" si="82"/>
        <v>July</v>
      </c>
      <c r="F650">
        <f t="shared" si="83"/>
        <v>2025</v>
      </c>
      <c r="G650" s="2">
        <v>45665</v>
      </c>
      <c r="H650" t="s">
        <v>1142</v>
      </c>
      <c r="I650" s="7">
        <f t="shared" si="84"/>
        <v>-197</v>
      </c>
      <c r="J650" s="7" t="s">
        <v>2802</v>
      </c>
      <c r="K650" t="s">
        <v>264</v>
      </c>
      <c r="L650" t="s">
        <v>37</v>
      </c>
      <c r="M650" t="s">
        <v>38</v>
      </c>
      <c r="N650" t="s">
        <v>228</v>
      </c>
      <c r="O650" t="s">
        <v>229</v>
      </c>
      <c r="P650" t="s">
        <v>28</v>
      </c>
      <c r="Q650" t="s">
        <v>153</v>
      </c>
      <c r="R650" t="s">
        <v>1143</v>
      </c>
      <c r="S650" t="s">
        <v>50</v>
      </c>
      <c r="T650">
        <v>8</v>
      </c>
      <c r="U650">
        <v>1528.92</v>
      </c>
      <c r="V650">
        <v>0</v>
      </c>
      <c r="W650">
        <v>0</v>
      </c>
      <c r="X650">
        <v>12231.36</v>
      </c>
      <c r="Y650">
        <f t="shared" si="80"/>
        <v>12231.36</v>
      </c>
      <c r="Z650">
        <v>8766.9</v>
      </c>
      <c r="AA650">
        <v>3464.46</v>
      </c>
      <c r="AB650">
        <f t="shared" si="85"/>
        <v>3464.4600000000009</v>
      </c>
      <c r="AC650" s="8">
        <f t="shared" si="86"/>
        <v>0.28324405462679547</v>
      </c>
      <c r="AD650" t="s">
        <v>32</v>
      </c>
      <c r="AE650" t="s">
        <v>33</v>
      </c>
      <c r="AF650" t="str">
        <f t="shared" si="87"/>
        <v>Perfect Match</v>
      </c>
    </row>
    <row r="651" spans="1:32">
      <c r="A651" t="str">
        <f>IF(OR(I651&lt;0, ISTEXT(W651), ISTEXT(Y651)), "Invalid", IF(OR(B651="Conflicting Duplicate", M651="Unknown", S651="Unknown"), "Warning", "Valid"))</f>
        <v>Valid</v>
      </c>
      <c r="B651" t="str">
        <f t="shared" si="81"/>
        <v>-</v>
      </c>
      <c r="C651" t="s">
        <v>1144</v>
      </c>
      <c r="D651" s="2">
        <v>45933</v>
      </c>
      <c r="E651" t="str">
        <f t="shared" si="82"/>
        <v>October</v>
      </c>
      <c r="F651">
        <f t="shared" si="83"/>
        <v>2025</v>
      </c>
      <c r="G651" s="2">
        <v>45938</v>
      </c>
      <c r="H651" t="s">
        <v>1145</v>
      </c>
      <c r="I651">
        <f t="shared" si="84"/>
        <v>5</v>
      </c>
      <c r="J651" t="s">
        <v>2795</v>
      </c>
      <c r="K651" t="s">
        <v>128</v>
      </c>
      <c r="L651" t="s">
        <v>90</v>
      </c>
      <c r="M651" t="s">
        <v>63</v>
      </c>
      <c r="N651" t="s">
        <v>72</v>
      </c>
      <c r="O651" t="s">
        <v>73</v>
      </c>
      <c r="P651" t="s">
        <v>74</v>
      </c>
      <c r="Q651" t="s">
        <v>274</v>
      </c>
      <c r="R651" t="s">
        <v>1146</v>
      </c>
      <c r="S651" t="s">
        <v>44</v>
      </c>
      <c r="T651">
        <v>9</v>
      </c>
      <c r="U651">
        <v>3837</v>
      </c>
      <c r="V651">
        <v>0.1</v>
      </c>
      <c r="W651">
        <v>0.1</v>
      </c>
      <c r="X651">
        <v>31079.7</v>
      </c>
      <c r="Y651">
        <f t="shared" si="80"/>
        <v>31079.7</v>
      </c>
      <c r="Z651">
        <v>17758.25</v>
      </c>
      <c r="AA651">
        <v>13321.45</v>
      </c>
      <c r="AB651">
        <f t="shared" si="85"/>
        <v>13321.45</v>
      </c>
      <c r="AC651" s="8">
        <f t="shared" si="86"/>
        <v>0.4286222196481948</v>
      </c>
      <c r="AD651" t="s">
        <v>32</v>
      </c>
      <c r="AE651" t="s">
        <v>33</v>
      </c>
      <c r="AF651" t="str">
        <f t="shared" si="87"/>
        <v>Perfect Match</v>
      </c>
    </row>
    <row r="652" spans="1:32">
      <c r="A652" t="str">
        <f>IF(OR(I652&lt;0, ISTEXT(W652), ISTEXT(Y652)), "Invalid", IF(OR(B652="Conflicting Duplicate", M652="Unknown", S652="Unknown"), "Warning", "Valid"))</f>
        <v>Valid</v>
      </c>
      <c r="B652" t="str">
        <f t="shared" si="81"/>
        <v>-</v>
      </c>
      <c r="C652" t="s">
        <v>1153</v>
      </c>
      <c r="D652" s="2">
        <v>45860</v>
      </c>
      <c r="E652" t="str">
        <f t="shared" si="82"/>
        <v>July</v>
      </c>
      <c r="F652">
        <f t="shared" si="83"/>
        <v>2025</v>
      </c>
      <c r="G652" s="2">
        <v>45866</v>
      </c>
      <c r="H652" t="s">
        <v>1154</v>
      </c>
      <c r="I652">
        <f t="shared" si="84"/>
        <v>6</v>
      </c>
      <c r="J652" t="s">
        <v>2795</v>
      </c>
      <c r="K652" t="s">
        <v>118</v>
      </c>
      <c r="L652" t="s">
        <v>90</v>
      </c>
      <c r="M652" t="s">
        <v>54</v>
      </c>
      <c r="N652" t="s">
        <v>185</v>
      </c>
      <c r="O652" t="s">
        <v>186</v>
      </c>
      <c r="P652" t="s">
        <v>41</v>
      </c>
      <c r="Q652" t="s">
        <v>66</v>
      </c>
      <c r="R652" t="s">
        <v>1155</v>
      </c>
      <c r="S652" t="s">
        <v>31</v>
      </c>
      <c r="T652">
        <v>6</v>
      </c>
      <c r="U652">
        <v>1607.46</v>
      </c>
      <c r="V652">
        <v>0.2</v>
      </c>
      <c r="W652">
        <v>0.2</v>
      </c>
      <c r="X652">
        <v>7715.81</v>
      </c>
      <c r="Y652">
        <f t="shared" si="80"/>
        <v>7715.81</v>
      </c>
      <c r="Z652">
        <v>4258.42</v>
      </c>
      <c r="AA652">
        <v>3457.39</v>
      </c>
      <c r="AB652">
        <f t="shared" si="85"/>
        <v>3457.3900000000003</v>
      </c>
      <c r="AC652" s="8">
        <f t="shared" si="86"/>
        <v>0.44809164559521297</v>
      </c>
      <c r="AD652" t="s">
        <v>32</v>
      </c>
      <c r="AE652" t="s">
        <v>33</v>
      </c>
      <c r="AF652" t="str">
        <f t="shared" si="87"/>
        <v>Perfect Match</v>
      </c>
    </row>
    <row r="653" spans="1:32">
      <c r="A653" t="str">
        <f>IF(OR(I653&lt;0, ISTEXT(W653), ISTEXT(Y653)), "Invalid", IF(OR(B653="Conflicting Duplicate", M653="Unknown", S653="Unknown"), "Warning", "Valid"))</f>
        <v>Valid</v>
      </c>
      <c r="B653" t="str">
        <f t="shared" si="81"/>
        <v>-</v>
      </c>
      <c r="C653" t="s">
        <v>1162</v>
      </c>
      <c r="D653" s="2">
        <v>45927</v>
      </c>
      <c r="E653" t="str">
        <f t="shared" si="82"/>
        <v>September</v>
      </c>
      <c r="F653">
        <f t="shared" si="83"/>
        <v>2025</v>
      </c>
      <c r="G653" s="2">
        <v>45929</v>
      </c>
      <c r="H653" t="s">
        <v>1163</v>
      </c>
      <c r="I653">
        <f t="shared" si="84"/>
        <v>2</v>
      </c>
      <c r="J653" t="s">
        <v>2795</v>
      </c>
      <c r="K653" t="s">
        <v>264</v>
      </c>
      <c r="L653" t="s">
        <v>95</v>
      </c>
      <c r="M653" t="s">
        <v>38</v>
      </c>
      <c r="N653" t="s">
        <v>228</v>
      </c>
      <c r="O653" t="s">
        <v>229</v>
      </c>
      <c r="P653" t="s">
        <v>41</v>
      </c>
      <c r="Q653" t="s">
        <v>57</v>
      </c>
      <c r="R653" t="s">
        <v>1164</v>
      </c>
      <c r="S653" t="s">
        <v>31</v>
      </c>
      <c r="T653">
        <v>9</v>
      </c>
      <c r="U653">
        <v>2867.55</v>
      </c>
      <c r="V653">
        <v>0.25</v>
      </c>
      <c r="W653">
        <v>0.25</v>
      </c>
      <c r="X653">
        <v>19355.96</v>
      </c>
      <c r="Y653">
        <f t="shared" si="80"/>
        <v>19355.96</v>
      </c>
      <c r="Z653">
        <v>15012.45</v>
      </c>
      <c r="AA653">
        <v>4017.4</v>
      </c>
      <c r="AB653">
        <f t="shared" si="85"/>
        <v>4343.5099999999984</v>
      </c>
      <c r="AC653" s="8">
        <f t="shared" si="86"/>
        <v>0.22440168299583171</v>
      </c>
      <c r="AD653" t="s">
        <v>32</v>
      </c>
      <c r="AE653" t="s">
        <v>33</v>
      </c>
      <c r="AF653" t="str">
        <f t="shared" si="87"/>
        <v>Mismatch Found</v>
      </c>
    </row>
    <row r="654" spans="1:32">
      <c r="A654" t="str">
        <f>IF(OR(I654&lt;0, ISTEXT(W654), ISTEXT(Y654)), "Invalid", IF(OR(B654="Conflicting Duplicate", M654="Unknown", S654="Unknown"), "Warning", "Valid"))</f>
        <v>Valid</v>
      </c>
      <c r="B654" t="str">
        <f t="shared" si="81"/>
        <v>-</v>
      </c>
      <c r="C654" t="s">
        <v>1168</v>
      </c>
      <c r="D654" s="2">
        <v>45800</v>
      </c>
      <c r="E654" t="str">
        <f t="shared" si="82"/>
        <v>May</v>
      </c>
      <c r="F654">
        <f t="shared" si="83"/>
        <v>2025</v>
      </c>
      <c r="G654" s="2">
        <v>45804</v>
      </c>
      <c r="H654" t="s">
        <v>1169</v>
      </c>
      <c r="I654">
        <f t="shared" si="84"/>
        <v>4</v>
      </c>
      <c r="J654" t="s">
        <v>2795</v>
      </c>
      <c r="K654" t="s">
        <v>71</v>
      </c>
      <c r="L654" t="s">
        <v>37</v>
      </c>
      <c r="M654" t="s">
        <v>54</v>
      </c>
      <c r="N654" t="s">
        <v>55</v>
      </c>
      <c r="O654" t="s">
        <v>56</v>
      </c>
      <c r="P654" t="s">
        <v>28</v>
      </c>
      <c r="Q654" t="s">
        <v>124</v>
      </c>
      <c r="R654" t="s">
        <v>1170</v>
      </c>
      <c r="S654" t="s">
        <v>50</v>
      </c>
      <c r="T654">
        <v>6</v>
      </c>
      <c r="U654">
        <v>719.44</v>
      </c>
      <c r="V654">
        <v>0.25</v>
      </c>
      <c r="W654">
        <v>0.25</v>
      </c>
      <c r="X654">
        <v>3237.48</v>
      </c>
      <c r="Y654">
        <f t="shared" si="80"/>
        <v>3237.48</v>
      </c>
      <c r="Z654">
        <v>2118.34</v>
      </c>
      <c r="AA654">
        <v>1119.1400000000001</v>
      </c>
      <c r="AB654">
        <f t="shared" si="85"/>
        <v>1119.1399999999999</v>
      </c>
      <c r="AC654" s="8">
        <f t="shared" si="86"/>
        <v>0.34568244437031265</v>
      </c>
      <c r="AD654" t="s">
        <v>111</v>
      </c>
      <c r="AE654" t="s">
        <v>68</v>
      </c>
      <c r="AF654" t="str">
        <f t="shared" si="87"/>
        <v>Perfect Match</v>
      </c>
    </row>
    <row r="655" spans="1:32">
      <c r="A655" t="str">
        <f>IF(OR(I655&lt;0, ISTEXT(W655), ISTEXT(Y655)), "Invalid", IF(OR(B655="Conflicting Duplicate", M655="Unknown", S655="Unknown"), "Warning", "Valid"))</f>
        <v>Valid</v>
      </c>
      <c r="B655" t="str">
        <f t="shared" si="81"/>
        <v>-</v>
      </c>
      <c r="C655" t="s">
        <v>1171</v>
      </c>
      <c r="D655" s="2">
        <v>45884</v>
      </c>
      <c r="E655" t="str">
        <f t="shared" si="82"/>
        <v>August</v>
      </c>
      <c r="F655">
        <f t="shared" si="83"/>
        <v>2025</v>
      </c>
      <c r="G655" s="2">
        <v>45886</v>
      </c>
      <c r="H655" t="s">
        <v>1172</v>
      </c>
      <c r="I655">
        <f t="shared" si="84"/>
        <v>2</v>
      </c>
      <c r="J655" t="s">
        <v>2795</v>
      </c>
      <c r="K655" t="s">
        <v>162</v>
      </c>
      <c r="L655" t="s">
        <v>37</v>
      </c>
      <c r="M655" t="s">
        <v>38</v>
      </c>
      <c r="N655" t="s">
        <v>166</v>
      </c>
      <c r="O655" t="s">
        <v>167</v>
      </c>
      <c r="P655" t="s">
        <v>74</v>
      </c>
      <c r="Q655" t="s">
        <v>80</v>
      </c>
      <c r="R655" t="s">
        <v>1173</v>
      </c>
      <c r="S655" t="s">
        <v>50</v>
      </c>
      <c r="T655">
        <v>5</v>
      </c>
      <c r="U655">
        <v>2862.6</v>
      </c>
      <c r="V655">
        <v>0.25</v>
      </c>
      <c r="W655">
        <v>0.25</v>
      </c>
      <c r="X655">
        <v>10734.75</v>
      </c>
      <c r="Y655">
        <f t="shared" si="80"/>
        <v>10734.75</v>
      </c>
      <c r="Z655">
        <v>6475.73</v>
      </c>
      <c r="AA655">
        <v>4259.0200000000004</v>
      </c>
      <c r="AB655">
        <f t="shared" si="85"/>
        <v>4259.0200000000004</v>
      </c>
      <c r="AC655" s="8">
        <f t="shared" si="86"/>
        <v>0.39675073942103917</v>
      </c>
      <c r="AD655" t="s">
        <v>32</v>
      </c>
      <c r="AE655" t="s">
        <v>33</v>
      </c>
      <c r="AF655" t="str">
        <f t="shared" si="87"/>
        <v>Perfect Match</v>
      </c>
    </row>
    <row r="656" spans="1:32">
      <c r="A656" t="str">
        <f>IF(OR(I656&lt;0, ISTEXT(W656), ISTEXT(Y656)), "Invalid", IF(OR(B656="Conflicting Duplicate", M656="Unknown", S656="Unknown"), "Warning", "Valid"))</f>
        <v>Valid</v>
      </c>
      <c r="B656" t="str">
        <f t="shared" si="81"/>
        <v>-</v>
      </c>
      <c r="C656" t="s">
        <v>1174</v>
      </c>
      <c r="D656" s="2">
        <v>45709</v>
      </c>
      <c r="E656" t="str">
        <f t="shared" si="82"/>
        <v>February</v>
      </c>
      <c r="F656">
        <f t="shared" si="83"/>
        <v>2025</v>
      </c>
      <c r="G656" s="2">
        <v>45715</v>
      </c>
      <c r="H656" t="s">
        <v>1175</v>
      </c>
      <c r="I656">
        <f t="shared" si="84"/>
        <v>6</v>
      </c>
      <c r="J656" t="s">
        <v>2795</v>
      </c>
      <c r="K656" t="s">
        <v>62</v>
      </c>
      <c r="L656" t="s">
        <v>24</v>
      </c>
      <c r="M656" t="s">
        <v>25</v>
      </c>
      <c r="N656" t="s">
        <v>26</v>
      </c>
      <c r="O656" t="s">
        <v>27</v>
      </c>
      <c r="P656" t="s">
        <v>28</v>
      </c>
      <c r="Q656" t="s">
        <v>48</v>
      </c>
      <c r="R656" t="s">
        <v>1176</v>
      </c>
      <c r="S656" t="s">
        <v>44</v>
      </c>
      <c r="T656">
        <v>9</v>
      </c>
      <c r="U656">
        <v>1431.67</v>
      </c>
      <c r="V656">
        <v>0.2</v>
      </c>
      <c r="W656">
        <v>0.2</v>
      </c>
      <c r="X656">
        <v>10308.02</v>
      </c>
      <c r="Y656">
        <f t="shared" si="80"/>
        <v>10308.02</v>
      </c>
      <c r="Z656">
        <v>5822.31</v>
      </c>
      <c r="AA656">
        <v>4485.71</v>
      </c>
      <c r="AB656">
        <f t="shared" si="85"/>
        <v>4485.71</v>
      </c>
      <c r="AC656" s="8">
        <f t="shared" si="86"/>
        <v>0.43516698648237001</v>
      </c>
      <c r="AD656" t="s">
        <v>32</v>
      </c>
      <c r="AE656" t="s">
        <v>33</v>
      </c>
      <c r="AF656" t="str">
        <f t="shared" si="87"/>
        <v>Perfect Match</v>
      </c>
    </row>
    <row r="657" spans="1:32">
      <c r="A657" t="str">
        <f>IF(OR(I657&lt;0, ISTEXT(W657), ISTEXT(Y657)), "Invalid", IF(OR(B657="Conflicting Duplicate", M657="Unknown", S657="Unknown"), "Warning", "Valid"))</f>
        <v>Valid</v>
      </c>
      <c r="B657" t="str">
        <f t="shared" si="81"/>
        <v>-</v>
      </c>
      <c r="C657" t="s">
        <v>1184</v>
      </c>
      <c r="D657" s="2">
        <v>45835</v>
      </c>
      <c r="E657" t="str">
        <f t="shared" si="82"/>
        <v>June</v>
      </c>
      <c r="F657">
        <f t="shared" si="83"/>
        <v>2025</v>
      </c>
      <c r="G657" s="2">
        <v>45837</v>
      </c>
      <c r="H657" t="s">
        <v>1185</v>
      </c>
      <c r="I657">
        <f t="shared" si="84"/>
        <v>2</v>
      </c>
      <c r="J657" t="s">
        <v>2795</v>
      </c>
      <c r="K657" t="s">
        <v>141</v>
      </c>
      <c r="L657" t="s">
        <v>95</v>
      </c>
      <c r="M657" t="s">
        <v>54</v>
      </c>
      <c r="N657" t="s">
        <v>55</v>
      </c>
      <c r="O657" t="s">
        <v>56</v>
      </c>
      <c r="P657" t="s">
        <v>41</v>
      </c>
      <c r="Q657" t="s">
        <v>66</v>
      </c>
      <c r="R657" t="s">
        <v>1186</v>
      </c>
      <c r="S657" t="s">
        <v>50</v>
      </c>
      <c r="T657">
        <v>5</v>
      </c>
      <c r="U657">
        <v>621.70000000000005</v>
      </c>
      <c r="V657">
        <v>0.2</v>
      </c>
      <c r="W657">
        <v>0.2</v>
      </c>
      <c r="X657">
        <v>2486.8000000000002</v>
      </c>
      <c r="Y657">
        <f t="shared" si="80"/>
        <v>2486.8000000000002</v>
      </c>
      <c r="Z657">
        <v>2131.73</v>
      </c>
      <c r="AA657">
        <v>355.07</v>
      </c>
      <c r="AB657">
        <f t="shared" si="85"/>
        <v>355.07000000000016</v>
      </c>
      <c r="AC657" s="8">
        <f t="shared" si="86"/>
        <v>0.1427818883705968</v>
      </c>
      <c r="AD657" t="s">
        <v>111</v>
      </c>
      <c r="AE657" t="s">
        <v>103</v>
      </c>
      <c r="AF657" t="str">
        <f t="shared" si="87"/>
        <v>Perfect Match</v>
      </c>
    </row>
    <row r="658" spans="1:32">
      <c r="A658" t="str">
        <f>IF(OR(I658&lt;0, ISTEXT(W658), ISTEXT(Y658)), "Invalid", IF(OR(B658="Conflicting Duplicate", M658="Unknown", S658="Unknown"), "Warning", "Valid"))</f>
        <v>Valid</v>
      </c>
      <c r="B658" t="str">
        <f t="shared" si="81"/>
        <v>-</v>
      </c>
      <c r="C658" t="s">
        <v>1187</v>
      </c>
      <c r="D658" s="2">
        <v>45678</v>
      </c>
      <c r="E658" t="str">
        <f t="shared" si="82"/>
        <v>January</v>
      </c>
      <c r="F658">
        <f t="shared" si="83"/>
        <v>2025</v>
      </c>
      <c r="G658" s="2">
        <v>45686</v>
      </c>
      <c r="H658" t="s">
        <v>1188</v>
      </c>
      <c r="I658">
        <f t="shared" si="84"/>
        <v>8</v>
      </c>
      <c r="J658" t="s">
        <v>2795</v>
      </c>
      <c r="K658" t="s">
        <v>36</v>
      </c>
      <c r="L658" t="s">
        <v>95</v>
      </c>
      <c r="M658" t="s">
        <v>54</v>
      </c>
      <c r="N658" t="s">
        <v>84</v>
      </c>
      <c r="O658" t="s">
        <v>85</v>
      </c>
      <c r="P658" t="s">
        <v>74</v>
      </c>
      <c r="Q658" t="s">
        <v>274</v>
      </c>
      <c r="R658" t="s">
        <v>1189</v>
      </c>
      <c r="S658" t="s">
        <v>31</v>
      </c>
      <c r="T658">
        <v>8</v>
      </c>
      <c r="U658">
        <v>546.13</v>
      </c>
      <c r="V658">
        <v>0</v>
      </c>
      <c r="W658">
        <v>0</v>
      </c>
      <c r="X658">
        <v>4369.04</v>
      </c>
      <c r="Y658">
        <f t="shared" si="80"/>
        <v>4369.04</v>
      </c>
      <c r="Z658">
        <v>3716.88</v>
      </c>
      <c r="AA658">
        <v>652.16</v>
      </c>
      <c r="AB658">
        <f t="shared" si="85"/>
        <v>652.15999999999985</v>
      </c>
      <c r="AC658" s="8">
        <f t="shared" si="86"/>
        <v>0.14926848918755603</v>
      </c>
      <c r="AD658" t="s">
        <v>32</v>
      </c>
      <c r="AE658" t="s">
        <v>68</v>
      </c>
      <c r="AF658" t="str">
        <f t="shared" si="87"/>
        <v>Perfect Match</v>
      </c>
    </row>
    <row r="659" spans="1:32">
      <c r="A659" s="6" t="str">
        <f>IF(OR(I659&lt;0, ISTEXT(W659), ISTEXT(Y659)), "Invalid", IF(OR(B659="Conflicting Duplicate", M659="Unknown", S659="Unknown"), "Warning", "Valid"))</f>
        <v>Invalid</v>
      </c>
      <c r="B659" t="str">
        <f t="shared" si="81"/>
        <v>-</v>
      </c>
      <c r="C659" t="s">
        <v>1190</v>
      </c>
      <c r="D659" s="2">
        <v>45878</v>
      </c>
      <c r="E659" t="str">
        <f t="shared" si="82"/>
        <v>August</v>
      </c>
      <c r="F659">
        <f t="shared" si="83"/>
        <v>2025</v>
      </c>
      <c r="G659" s="2">
        <v>45876</v>
      </c>
      <c r="H659" t="s">
        <v>1191</v>
      </c>
      <c r="I659" s="7">
        <f t="shared" si="84"/>
        <v>-2</v>
      </c>
      <c r="J659" s="7" t="s">
        <v>2802</v>
      </c>
      <c r="K659" t="s">
        <v>71</v>
      </c>
      <c r="L659" t="s">
        <v>95</v>
      </c>
      <c r="M659" t="s">
        <v>63</v>
      </c>
      <c r="N659" t="s">
        <v>180</v>
      </c>
      <c r="O659" t="s">
        <v>181</v>
      </c>
      <c r="P659" t="s">
        <v>41</v>
      </c>
      <c r="Q659" t="s">
        <v>158</v>
      </c>
      <c r="R659" t="s">
        <v>1192</v>
      </c>
      <c r="S659" t="s">
        <v>31</v>
      </c>
      <c r="T659">
        <v>5</v>
      </c>
      <c r="U659">
        <v>1253.92</v>
      </c>
      <c r="V659">
        <v>0.05</v>
      </c>
      <c r="W659">
        <v>0.05</v>
      </c>
      <c r="X659">
        <v>5956.12</v>
      </c>
      <c r="Y659">
        <f t="shared" si="80"/>
        <v>5956.12</v>
      </c>
      <c r="Z659">
        <v>4379.18</v>
      </c>
      <c r="AA659">
        <v>1576.94</v>
      </c>
      <c r="AB659">
        <f t="shared" si="85"/>
        <v>1576.9399999999996</v>
      </c>
      <c r="AC659" s="8">
        <f t="shared" si="86"/>
        <v>0.26475960860425907</v>
      </c>
      <c r="AD659" t="s">
        <v>111</v>
      </c>
      <c r="AE659" t="s">
        <v>103</v>
      </c>
      <c r="AF659" t="str">
        <f t="shared" si="87"/>
        <v>Perfect Match</v>
      </c>
    </row>
    <row r="660" spans="1:32">
      <c r="A660" t="str">
        <f>IF(OR(I660&lt;0, ISTEXT(W660), ISTEXT(Y660)), "Invalid", IF(OR(B660="Conflicting Duplicate", M660="Unknown", S660="Unknown"), "Warning", "Valid"))</f>
        <v>Valid</v>
      </c>
      <c r="B660" t="str">
        <f t="shared" si="81"/>
        <v>-</v>
      </c>
      <c r="C660" t="s">
        <v>1199</v>
      </c>
      <c r="D660" s="2">
        <v>45661</v>
      </c>
      <c r="E660" t="str">
        <f t="shared" si="82"/>
        <v>January</v>
      </c>
      <c r="F660">
        <f t="shared" si="83"/>
        <v>2025</v>
      </c>
      <c r="G660" s="2">
        <v>45749</v>
      </c>
      <c r="H660" t="s">
        <v>1200</v>
      </c>
      <c r="I660">
        <f t="shared" si="84"/>
        <v>88</v>
      </c>
      <c r="J660" t="s">
        <v>2795</v>
      </c>
      <c r="K660" t="s">
        <v>141</v>
      </c>
      <c r="L660" t="s">
        <v>90</v>
      </c>
      <c r="M660" t="s">
        <v>38</v>
      </c>
      <c r="N660" t="s">
        <v>39</v>
      </c>
      <c r="O660" t="s">
        <v>40</v>
      </c>
      <c r="P660" t="s">
        <v>41</v>
      </c>
      <c r="Q660" t="s">
        <v>66</v>
      </c>
      <c r="R660" t="s">
        <v>1201</v>
      </c>
      <c r="S660" t="s">
        <v>31</v>
      </c>
      <c r="T660">
        <v>9</v>
      </c>
      <c r="U660">
        <v>4165.58</v>
      </c>
      <c r="V660">
        <v>0.05</v>
      </c>
      <c r="W660">
        <v>0.05</v>
      </c>
      <c r="X660">
        <v>35615.71</v>
      </c>
      <c r="Y660">
        <f t="shared" si="80"/>
        <v>35615.71</v>
      </c>
      <c r="Z660">
        <v>20389.71</v>
      </c>
      <c r="AA660">
        <v>15226</v>
      </c>
      <c r="AB660">
        <f t="shared" si="85"/>
        <v>15226</v>
      </c>
      <c r="AC660" s="8">
        <f t="shared" si="86"/>
        <v>0.42750797330728491</v>
      </c>
      <c r="AD660" t="s">
        <v>111</v>
      </c>
      <c r="AE660" t="s">
        <v>103</v>
      </c>
      <c r="AF660" t="str">
        <f t="shared" si="87"/>
        <v>Perfect Match</v>
      </c>
    </row>
    <row r="661" spans="1:32">
      <c r="A661" t="str">
        <f>IF(OR(I661&lt;0, ISTEXT(W661), ISTEXT(Y661)), "Invalid", IF(OR(B661="Conflicting Duplicate", M661="Unknown", S661="Unknown"), "Warning", "Valid"))</f>
        <v>Valid</v>
      </c>
      <c r="B661" t="str">
        <f t="shared" si="81"/>
        <v>-</v>
      </c>
      <c r="C661" t="s">
        <v>1205</v>
      </c>
      <c r="D661" s="2">
        <v>45845</v>
      </c>
      <c r="E661" t="str">
        <f t="shared" si="82"/>
        <v>July</v>
      </c>
      <c r="F661">
        <f t="shared" si="83"/>
        <v>2025</v>
      </c>
      <c r="G661" s="2">
        <v>45850</v>
      </c>
      <c r="H661" t="s">
        <v>1206</v>
      </c>
      <c r="I661">
        <f t="shared" si="84"/>
        <v>5</v>
      </c>
      <c r="J661" t="s">
        <v>2795</v>
      </c>
      <c r="K661" t="s">
        <v>162</v>
      </c>
      <c r="L661" t="s">
        <v>90</v>
      </c>
      <c r="M661" t="s">
        <v>38</v>
      </c>
      <c r="N661" t="s">
        <v>99</v>
      </c>
      <c r="O661" t="s">
        <v>100</v>
      </c>
      <c r="P661" t="s">
        <v>41</v>
      </c>
      <c r="Q661" t="s">
        <v>42</v>
      </c>
      <c r="R661" t="s">
        <v>1207</v>
      </c>
      <c r="S661" t="s">
        <v>31</v>
      </c>
      <c r="T661">
        <v>5</v>
      </c>
      <c r="U661">
        <v>1831.37</v>
      </c>
      <c r="V661">
        <v>0.25</v>
      </c>
      <c r="W661">
        <v>0.25</v>
      </c>
      <c r="X661">
        <v>6867.64</v>
      </c>
      <c r="Y661">
        <f t="shared" si="80"/>
        <v>6867.64</v>
      </c>
      <c r="Z661">
        <v>5205.3599999999997</v>
      </c>
      <c r="AA661">
        <v>1662.28</v>
      </c>
      <c r="AB661">
        <f t="shared" si="85"/>
        <v>1662.2800000000007</v>
      </c>
      <c r="AC661" s="8">
        <f t="shared" si="86"/>
        <v>0.24204530231637078</v>
      </c>
      <c r="AD661" t="s">
        <v>32</v>
      </c>
      <c r="AE661" t="s">
        <v>33</v>
      </c>
      <c r="AF661" t="str">
        <f t="shared" si="87"/>
        <v>Perfect Match</v>
      </c>
    </row>
    <row r="662" spans="1:32">
      <c r="A662" t="str">
        <f>IF(OR(I662&lt;0, ISTEXT(W662), ISTEXT(Y662)), "Invalid", IF(OR(B662="Conflicting Duplicate", M662="Unknown", S662="Unknown"), "Warning", "Valid"))</f>
        <v>Valid</v>
      </c>
      <c r="B662" t="str">
        <f t="shared" si="81"/>
        <v>-</v>
      </c>
      <c r="C662" t="s">
        <v>1208</v>
      </c>
      <c r="D662" s="2">
        <v>45737</v>
      </c>
      <c r="E662" t="str">
        <f t="shared" si="82"/>
        <v>March</v>
      </c>
      <c r="F662">
        <f t="shared" si="83"/>
        <v>2025</v>
      </c>
      <c r="G662" s="2">
        <v>45740</v>
      </c>
      <c r="H662" t="s">
        <v>1209</v>
      </c>
      <c r="I662">
        <f t="shared" si="84"/>
        <v>3</v>
      </c>
      <c r="J662" t="s">
        <v>2795</v>
      </c>
      <c r="K662" t="s">
        <v>128</v>
      </c>
      <c r="L662" t="s">
        <v>37</v>
      </c>
      <c r="M662" t="s">
        <v>54</v>
      </c>
      <c r="N662" t="s">
        <v>84</v>
      </c>
      <c r="O662" t="s">
        <v>85</v>
      </c>
      <c r="P662" t="s">
        <v>41</v>
      </c>
      <c r="Q662" t="s">
        <v>66</v>
      </c>
      <c r="R662" t="s">
        <v>1210</v>
      </c>
      <c r="S662" t="s">
        <v>31</v>
      </c>
      <c r="T662">
        <v>5</v>
      </c>
      <c r="U662">
        <v>1239.1500000000001</v>
      </c>
      <c r="V662">
        <v>0</v>
      </c>
      <c r="W662">
        <v>0</v>
      </c>
      <c r="X662">
        <v>6195.75</v>
      </c>
      <c r="Y662">
        <f t="shared" si="80"/>
        <v>6195.75</v>
      </c>
      <c r="Z662">
        <v>3967.02</v>
      </c>
      <c r="AA662">
        <v>2228.73</v>
      </c>
      <c r="AB662">
        <f t="shared" si="85"/>
        <v>2228.73</v>
      </c>
      <c r="AC662" s="8">
        <f t="shared" si="86"/>
        <v>0.35971916232901585</v>
      </c>
      <c r="AD662" t="s">
        <v>32</v>
      </c>
      <c r="AE662" t="s">
        <v>33</v>
      </c>
      <c r="AF662" t="str">
        <f t="shared" si="87"/>
        <v>Perfect Match</v>
      </c>
    </row>
    <row r="663" spans="1:32">
      <c r="A663" t="str">
        <f>IF(OR(I663&lt;0, ISTEXT(W663), ISTEXT(Y663)), "Invalid", IF(OR(B663="Conflicting Duplicate", M663="Unknown", S663="Unknown"), "Warning", "Valid"))</f>
        <v>Valid</v>
      </c>
      <c r="B663" t="str">
        <f t="shared" si="81"/>
        <v>-</v>
      </c>
      <c r="C663" t="s">
        <v>1214</v>
      </c>
      <c r="D663" s="2">
        <v>45673</v>
      </c>
      <c r="E663" t="str">
        <f t="shared" si="82"/>
        <v>January</v>
      </c>
      <c r="F663">
        <f t="shared" si="83"/>
        <v>2025</v>
      </c>
      <c r="G663" s="2">
        <v>45679</v>
      </c>
      <c r="H663" t="s">
        <v>1215</v>
      </c>
      <c r="I663">
        <f t="shared" si="84"/>
        <v>6</v>
      </c>
      <c r="J663" t="s">
        <v>2795</v>
      </c>
      <c r="K663" t="s">
        <v>132</v>
      </c>
      <c r="L663" t="s">
        <v>90</v>
      </c>
      <c r="M663" t="s">
        <v>25</v>
      </c>
      <c r="N663" t="s">
        <v>26</v>
      </c>
      <c r="O663" t="s">
        <v>27</v>
      </c>
      <c r="P663" t="s">
        <v>41</v>
      </c>
      <c r="Q663" t="s">
        <v>42</v>
      </c>
      <c r="R663" t="s">
        <v>1216</v>
      </c>
      <c r="S663" t="s">
        <v>44</v>
      </c>
      <c r="T663">
        <v>2</v>
      </c>
      <c r="U663">
        <v>4418.28</v>
      </c>
      <c r="V663">
        <v>0</v>
      </c>
      <c r="W663">
        <v>0</v>
      </c>
      <c r="X663">
        <v>8836.56</v>
      </c>
      <c r="Y663">
        <f t="shared" si="80"/>
        <v>8836.56</v>
      </c>
      <c r="Z663">
        <v>5867.75</v>
      </c>
      <c r="AA663">
        <v>2968.81</v>
      </c>
      <c r="AB663">
        <f t="shared" si="85"/>
        <v>2968.8099999999995</v>
      </c>
      <c r="AC663" s="8">
        <f t="shared" si="86"/>
        <v>0.33596897435201023</v>
      </c>
      <c r="AD663" t="s">
        <v>32</v>
      </c>
      <c r="AE663" t="s">
        <v>33</v>
      </c>
      <c r="AF663" t="str">
        <f t="shared" si="87"/>
        <v>Perfect Match</v>
      </c>
    </row>
    <row r="664" spans="1:32">
      <c r="A664" t="str">
        <f>IF(OR(I664&lt;0, ISTEXT(W664), ISTEXT(Y664)), "Invalid", IF(OR(B664="Conflicting Duplicate", M664="Unknown", S664="Unknown"), "Warning", "Valid"))</f>
        <v>Valid</v>
      </c>
      <c r="B664" t="str">
        <f t="shared" si="81"/>
        <v>-</v>
      </c>
      <c r="C664" t="s">
        <v>1220</v>
      </c>
      <c r="D664" s="2">
        <v>45815</v>
      </c>
      <c r="E664" t="str">
        <f t="shared" si="82"/>
        <v>June</v>
      </c>
      <c r="F664">
        <f t="shared" si="83"/>
        <v>2025</v>
      </c>
      <c r="G664" s="2">
        <v>45815</v>
      </c>
      <c r="H664" t="s">
        <v>1221</v>
      </c>
      <c r="I664">
        <f t="shared" si="84"/>
        <v>0</v>
      </c>
      <c r="J664" t="s">
        <v>2795</v>
      </c>
      <c r="K664" t="s">
        <v>128</v>
      </c>
      <c r="L664" t="s">
        <v>95</v>
      </c>
      <c r="M664" t="s">
        <v>25</v>
      </c>
      <c r="N664" t="s">
        <v>26</v>
      </c>
      <c r="O664" t="s">
        <v>27</v>
      </c>
      <c r="P664" t="s">
        <v>74</v>
      </c>
      <c r="Q664" t="s">
        <v>75</v>
      </c>
      <c r="R664" t="s">
        <v>1222</v>
      </c>
      <c r="S664" t="s">
        <v>44</v>
      </c>
      <c r="T664">
        <v>9</v>
      </c>
      <c r="U664">
        <v>243.19</v>
      </c>
      <c r="V664">
        <v>0.05</v>
      </c>
      <c r="W664">
        <v>0.05</v>
      </c>
      <c r="X664">
        <v>2079.27</v>
      </c>
      <c r="Y664">
        <f t="shared" si="80"/>
        <v>2079.27</v>
      </c>
      <c r="Z664">
        <v>1512.17</v>
      </c>
      <c r="AA664">
        <v>567.1</v>
      </c>
      <c r="AB664">
        <f t="shared" si="85"/>
        <v>567.09999999999991</v>
      </c>
      <c r="AC664" s="8">
        <f t="shared" si="86"/>
        <v>0.27273995200238543</v>
      </c>
      <c r="AD664" t="s">
        <v>102</v>
      </c>
      <c r="AE664" t="s">
        <v>103</v>
      </c>
      <c r="AF664" t="str">
        <f t="shared" si="87"/>
        <v>Perfect Match</v>
      </c>
    </row>
    <row r="665" spans="1:32">
      <c r="A665" t="str">
        <f>IF(OR(I665&lt;0, ISTEXT(W665), ISTEXT(Y665)), "Invalid", IF(OR(B665="Conflicting Duplicate", M665="Unknown", S665="Unknown"), "Warning", "Valid"))</f>
        <v>Valid</v>
      </c>
      <c r="B665" t="str">
        <f t="shared" si="81"/>
        <v>-</v>
      </c>
      <c r="C665" t="s">
        <v>1223</v>
      </c>
      <c r="D665" s="2">
        <v>45680</v>
      </c>
      <c r="E665" t="str">
        <f t="shared" si="82"/>
        <v>January</v>
      </c>
      <c r="F665">
        <f t="shared" si="83"/>
        <v>2025</v>
      </c>
      <c r="G665" s="2">
        <v>45687</v>
      </c>
      <c r="H665" t="s">
        <v>1224</v>
      </c>
      <c r="I665">
        <f t="shared" si="84"/>
        <v>7</v>
      </c>
      <c r="J665" t="s">
        <v>2795</v>
      </c>
      <c r="K665" t="s">
        <v>114</v>
      </c>
      <c r="L665" t="s">
        <v>24</v>
      </c>
      <c r="M665" t="s">
        <v>25</v>
      </c>
      <c r="N665" t="s">
        <v>350</v>
      </c>
      <c r="O665" t="s">
        <v>351</v>
      </c>
      <c r="P665" t="s">
        <v>28</v>
      </c>
      <c r="Q665" t="s">
        <v>91</v>
      </c>
      <c r="R665" t="s">
        <v>1225</v>
      </c>
      <c r="S665" t="s">
        <v>59</v>
      </c>
      <c r="T665">
        <v>9</v>
      </c>
      <c r="U665">
        <v>1169.3699999999999</v>
      </c>
      <c r="V665">
        <v>0.15</v>
      </c>
      <c r="W665">
        <v>0.15</v>
      </c>
      <c r="X665">
        <v>8945.68</v>
      </c>
      <c r="Y665">
        <f t="shared" si="80"/>
        <v>8945.68</v>
      </c>
      <c r="Z665">
        <v>6740.35</v>
      </c>
      <c r="AA665">
        <v>2205.33</v>
      </c>
      <c r="AB665">
        <f t="shared" si="85"/>
        <v>2205.33</v>
      </c>
      <c r="AC665" s="8">
        <f t="shared" si="86"/>
        <v>0.24652457946181844</v>
      </c>
      <c r="AD665" t="s">
        <v>32</v>
      </c>
      <c r="AE665" t="s">
        <v>33</v>
      </c>
      <c r="AF665" t="str">
        <f t="shared" si="87"/>
        <v>Perfect Match</v>
      </c>
    </row>
    <row r="666" spans="1:32">
      <c r="A666" t="str">
        <f>IF(OR(I666&lt;0, ISTEXT(W666), ISTEXT(Y666)), "Invalid", IF(OR(B666="Conflicting Duplicate", M666="Unknown", S666="Unknown"), "Warning", "Valid"))</f>
        <v>Valid</v>
      </c>
      <c r="B666" t="str">
        <f t="shared" si="81"/>
        <v>-</v>
      </c>
      <c r="C666" t="s">
        <v>1232</v>
      </c>
      <c r="D666" s="2">
        <v>45885</v>
      </c>
      <c r="E666" t="str">
        <f t="shared" si="82"/>
        <v>August</v>
      </c>
      <c r="F666">
        <f t="shared" si="83"/>
        <v>2025</v>
      </c>
      <c r="G666" s="2">
        <v>45887</v>
      </c>
      <c r="H666" t="s">
        <v>645</v>
      </c>
      <c r="I666">
        <f t="shared" si="84"/>
        <v>2</v>
      </c>
      <c r="J666" t="s">
        <v>2795</v>
      </c>
      <c r="K666" t="s">
        <v>264</v>
      </c>
      <c r="L666" t="s">
        <v>24</v>
      </c>
      <c r="M666" t="s">
        <v>38</v>
      </c>
      <c r="N666" t="s">
        <v>228</v>
      </c>
      <c r="O666" t="s">
        <v>229</v>
      </c>
      <c r="P666" t="s">
        <v>41</v>
      </c>
      <c r="Q666" t="s">
        <v>66</v>
      </c>
      <c r="R666" t="s">
        <v>1233</v>
      </c>
      <c r="S666" t="s">
        <v>44</v>
      </c>
      <c r="T666">
        <v>5</v>
      </c>
      <c r="U666">
        <v>1530.36</v>
      </c>
      <c r="V666">
        <v>0</v>
      </c>
      <c r="W666">
        <v>0</v>
      </c>
      <c r="X666">
        <v>7651.8</v>
      </c>
      <c r="Y666">
        <f t="shared" si="80"/>
        <v>7651.8</v>
      </c>
      <c r="Z666">
        <v>5171.78</v>
      </c>
      <c r="AA666">
        <v>2480.02</v>
      </c>
      <c r="AB666">
        <f t="shared" si="85"/>
        <v>2480.0200000000004</v>
      </c>
      <c r="AC666" s="8">
        <f t="shared" si="86"/>
        <v>0.32410935988917644</v>
      </c>
      <c r="AD666" t="s">
        <v>32</v>
      </c>
      <c r="AE666" t="s">
        <v>33</v>
      </c>
      <c r="AF666" t="str">
        <f t="shared" si="87"/>
        <v>Perfect Match</v>
      </c>
    </row>
    <row r="667" spans="1:32">
      <c r="A667" s="6" t="str">
        <f>IF(OR(I667&lt;0, ISTEXT(W667), ISTEXT(Y667)), "Invalid", IF(OR(B667="Conflicting Duplicate", M667="Unknown", S667="Unknown"), "Warning", "Valid"))</f>
        <v>Warning</v>
      </c>
      <c r="B667" t="str">
        <f t="shared" si="81"/>
        <v>Conflicting Duplicate</v>
      </c>
      <c r="C667" t="s">
        <v>1234</v>
      </c>
      <c r="D667" s="2">
        <v>45760</v>
      </c>
      <c r="E667" t="str">
        <f t="shared" si="82"/>
        <v>April</v>
      </c>
      <c r="F667">
        <f t="shared" si="83"/>
        <v>2025</v>
      </c>
      <c r="G667" s="2">
        <v>45760</v>
      </c>
      <c r="H667" t="s">
        <v>1235</v>
      </c>
      <c r="I667">
        <f t="shared" si="84"/>
        <v>0</v>
      </c>
      <c r="J667" t="s">
        <v>2795</v>
      </c>
      <c r="K667" t="s">
        <v>132</v>
      </c>
      <c r="L667" t="s">
        <v>37</v>
      </c>
      <c r="M667" t="s">
        <v>25</v>
      </c>
      <c r="N667" t="s">
        <v>136</v>
      </c>
      <c r="O667" t="s">
        <v>137</v>
      </c>
      <c r="P667" t="s">
        <v>28</v>
      </c>
      <c r="Q667" t="s">
        <v>124</v>
      </c>
      <c r="R667" t="s">
        <v>1236</v>
      </c>
      <c r="S667" t="s">
        <v>31</v>
      </c>
      <c r="T667">
        <v>9</v>
      </c>
      <c r="U667">
        <v>1118.68</v>
      </c>
      <c r="V667">
        <v>0</v>
      </c>
      <c r="W667">
        <v>0</v>
      </c>
      <c r="X667">
        <v>10068.120000000001</v>
      </c>
      <c r="Y667">
        <f t="shared" si="80"/>
        <v>10068.120000000001</v>
      </c>
      <c r="Z667">
        <v>8595.3700000000008</v>
      </c>
      <c r="AA667">
        <v>1472.75</v>
      </c>
      <c r="AB667">
        <f t="shared" si="85"/>
        <v>1472.75</v>
      </c>
      <c r="AC667" s="8">
        <f t="shared" si="86"/>
        <v>0.14627855051389932</v>
      </c>
      <c r="AD667" t="s">
        <v>32</v>
      </c>
      <c r="AE667" t="s">
        <v>33</v>
      </c>
      <c r="AF667" t="str">
        <f t="shared" si="87"/>
        <v>Perfect Match</v>
      </c>
    </row>
    <row r="668" spans="1:32">
      <c r="A668" s="6" t="str">
        <f>IF(OR(I668&lt;0, ISTEXT(W668), ISTEXT(Y668)), "Invalid", IF(OR(B668="Conflicting Duplicate", M668="Unknown", S668="Unknown"), "Warning", "Valid"))</f>
        <v>Warning</v>
      </c>
      <c r="B668" t="str">
        <f t="shared" si="81"/>
        <v>Conflicting Duplicate</v>
      </c>
      <c r="C668" t="s">
        <v>1234</v>
      </c>
      <c r="D668" s="2">
        <v>45760</v>
      </c>
      <c r="E668" t="str">
        <f t="shared" si="82"/>
        <v>April</v>
      </c>
      <c r="F668">
        <f t="shared" si="83"/>
        <v>2025</v>
      </c>
      <c r="G668" s="2">
        <v>45760</v>
      </c>
      <c r="H668" t="s">
        <v>1235</v>
      </c>
      <c r="I668">
        <f t="shared" si="84"/>
        <v>0</v>
      </c>
      <c r="J668" t="s">
        <v>2795</v>
      </c>
      <c r="K668" t="s">
        <v>132</v>
      </c>
      <c r="L668" t="s">
        <v>37</v>
      </c>
      <c r="M668" t="s">
        <v>25</v>
      </c>
      <c r="N668" t="s">
        <v>136</v>
      </c>
      <c r="O668" t="s">
        <v>137</v>
      </c>
      <c r="P668" t="s">
        <v>28</v>
      </c>
      <c r="Q668" t="s">
        <v>124</v>
      </c>
      <c r="R668" t="s">
        <v>1236</v>
      </c>
      <c r="S668" t="s">
        <v>31</v>
      </c>
      <c r="T668">
        <v>9</v>
      </c>
      <c r="U668">
        <v>1118.68</v>
      </c>
      <c r="V668">
        <v>0</v>
      </c>
      <c r="W668">
        <v>0</v>
      </c>
      <c r="X668">
        <v>10348.43</v>
      </c>
      <c r="Y668">
        <f t="shared" si="80"/>
        <v>10068.120000000001</v>
      </c>
      <c r="Z668">
        <v>8595.3700000000008</v>
      </c>
      <c r="AA668">
        <v>1472.75</v>
      </c>
      <c r="AB668">
        <f t="shared" si="85"/>
        <v>1472.75</v>
      </c>
      <c r="AC668" s="8">
        <f t="shared" si="86"/>
        <v>0.14627855051389932</v>
      </c>
      <c r="AD668" t="s">
        <v>32</v>
      </c>
      <c r="AE668" t="s">
        <v>103</v>
      </c>
      <c r="AF668" t="str">
        <f t="shared" si="87"/>
        <v>Mismatch Found</v>
      </c>
    </row>
    <row r="669" spans="1:32">
      <c r="A669" t="str">
        <f>IF(OR(I669&lt;0, ISTEXT(W669), ISTEXT(Y669)), "Invalid", IF(OR(B669="Conflicting Duplicate", M669="Unknown", S669="Unknown"), "Warning", "Valid"))</f>
        <v>Valid</v>
      </c>
      <c r="B669" t="str">
        <f t="shared" si="81"/>
        <v>-</v>
      </c>
      <c r="C669" t="s">
        <v>1237</v>
      </c>
      <c r="D669" s="2">
        <v>45715</v>
      </c>
      <c r="E669" t="str">
        <f t="shared" si="82"/>
        <v>February</v>
      </c>
      <c r="F669">
        <f t="shared" si="83"/>
        <v>2025</v>
      </c>
      <c r="G669" s="2">
        <v>45716</v>
      </c>
      <c r="H669" t="s">
        <v>1238</v>
      </c>
      <c r="I669">
        <f t="shared" si="84"/>
        <v>1</v>
      </c>
      <c r="J669" t="s">
        <v>2795</v>
      </c>
      <c r="K669" t="s">
        <v>89</v>
      </c>
      <c r="L669" t="s">
        <v>37</v>
      </c>
      <c r="M669" t="s">
        <v>25</v>
      </c>
      <c r="N669" t="s">
        <v>136</v>
      </c>
      <c r="O669" t="s">
        <v>137</v>
      </c>
      <c r="P669" t="s">
        <v>28</v>
      </c>
      <c r="Q669" t="s">
        <v>91</v>
      </c>
      <c r="R669" t="s">
        <v>1239</v>
      </c>
      <c r="S669" t="s">
        <v>59</v>
      </c>
      <c r="T669">
        <v>6</v>
      </c>
      <c r="U669">
        <v>2393.25</v>
      </c>
      <c r="V669">
        <v>0</v>
      </c>
      <c r="W669">
        <v>0</v>
      </c>
      <c r="X669">
        <v>14359.5</v>
      </c>
      <c r="Y669">
        <f t="shared" si="80"/>
        <v>14359.5</v>
      </c>
      <c r="Z669">
        <v>8117.71</v>
      </c>
      <c r="AA669">
        <v>6241.79</v>
      </c>
      <c r="AB669">
        <f t="shared" si="85"/>
        <v>6241.79</v>
      </c>
      <c r="AC669" s="8">
        <f t="shared" si="86"/>
        <v>0.43468017688638183</v>
      </c>
      <c r="AD669" t="s">
        <v>32</v>
      </c>
      <c r="AE669" t="s">
        <v>33</v>
      </c>
      <c r="AF669" t="str">
        <f t="shared" si="87"/>
        <v>Perfect Match</v>
      </c>
    </row>
    <row r="670" spans="1:32">
      <c r="A670" t="str">
        <f>IF(OR(I670&lt;0, ISTEXT(W670), ISTEXT(Y670)), "Invalid", IF(OR(B670="Conflicting Duplicate", M670="Unknown", S670="Unknown"), "Warning", "Valid"))</f>
        <v>Valid</v>
      </c>
      <c r="B670" t="str">
        <f t="shared" si="81"/>
        <v>-</v>
      </c>
      <c r="C670" t="s">
        <v>1246</v>
      </c>
      <c r="D670" s="2">
        <v>45801</v>
      </c>
      <c r="E670" t="str">
        <f t="shared" si="82"/>
        <v>May</v>
      </c>
      <c r="F670">
        <f t="shared" si="83"/>
        <v>2025</v>
      </c>
      <c r="G670" s="2">
        <v>45807</v>
      </c>
      <c r="H670" t="s">
        <v>1247</v>
      </c>
      <c r="I670">
        <f t="shared" si="84"/>
        <v>6</v>
      </c>
      <c r="J670" t="s">
        <v>2795</v>
      </c>
      <c r="K670" t="s">
        <v>264</v>
      </c>
      <c r="L670" t="s">
        <v>37</v>
      </c>
      <c r="M670" t="s">
        <v>38</v>
      </c>
      <c r="N670" t="s">
        <v>39</v>
      </c>
      <c r="O670" t="s">
        <v>40</v>
      </c>
      <c r="P670" t="s">
        <v>28</v>
      </c>
      <c r="Q670" t="s">
        <v>1248</v>
      </c>
      <c r="R670" t="s">
        <v>1249</v>
      </c>
      <c r="S670" t="s">
        <v>44</v>
      </c>
      <c r="T670">
        <v>1</v>
      </c>
      <c r="U670">
        <v>2564.7399999999998</v>
      </c>
      <c r="V670">
        <v>0</v>
      </c>
      <c r="W670">
        <v>0</v>
      </c>
      <c r="X670">
        <v>2564.7399999999998</v>
      </c>
      <c r="Y670">
        <f t="shared" si="80"/>
        <v>2564.7399999999998</v>
      </c>
      <c r="Z670">
        <v>1754.58</v>
      </c>
      <c r="AA670">
        <v>810.16</v>
      </c>
      <c r="AB670">
        <f t="shared" si="85"/>
        <v>810.15999999999985</v>
      </c>
      <c r="AC670" s="8">
        <f t="shared" si="86"/>
        <v>0.31588387126960232</v>
      </c>
      <c r="AD670" t="s">
        <v>32</v>
      </c>
      <c r="AE670" t="s">
        <v>33</v>
      </c>
      <c r="AF670" t="str">
        <f t="shared" si="87"/>
        <v>Perfect Match</v>
      </c>
    </row>
    <row r="671" spans="1:32">
      <c r="A671" t="str">
        <f>IF(OR(I671&lt;0, ISTEXT(W671), ISTEXT(Y671)), "Invalid", IF(OR(B671="Conflicting Duplicate", M671="Unknown", S671="Unknown"), "Warning", "Valid"))</f>
        <v>Valid</v>
      </c>
      <c r="B671" t="str">
        <f t="shared" si="81"/>
        <v>-</v>
      </c>
      <c r="C671" t="s">
        <v>1250</v>
      </c>
      <c r="D671" s="2">
        <v>45799</v>
      </c>
      <c r="E671" t="str">
        <f t="shared" si="82"/>
        <v>May</v>
      </c>
      <c r="F671">
        <f t="shared" si="83"/>
        <v>2025</v>
      </c>
      <c r="G671" s="2">
        <v>45799</v>
      </c>
      <c r="H671" t="s">
        <v>1251</v>
      </c>
      <c r="I671">
        <f t="shared" si="84"/>
        <v>0</v>
      </c>
      <c r="J671" t="s">
        <v>2795</v>
      </c>
      <c r="K671" t="s">
        <v>36</v>
      </c>
      <c r="L671" t="s">
        <v>24</v>
      </c>
      <c r="M671" t="s">
        <v>63</v>
      </c>
      <c r="N671" t="s">
        <v>190</v>
      </c>
      <c r="O671" t="s">
        <v>191</v>
      </c>
      <c r="P671" t="s">
        <v>74</v>
      </c>
      <c r="Q671" t="s">
        <v>75</v>
      </c>
      <c r="R671" t="s">
        <v>1252</v>
      </c>
      <c r="S671" t="s">
        <v>59</v>
      </c>
      <c r="T671">
        <v>2</v>
      </c>
      <c r="U671">
        <v>3910.61</v>
      </c>
      <c r="V671">
        <v>0</v>
      </c>
      <c r="W671">
        <v>0</v>
      </c>
      <c r="X671">
        <v>7821.22</v>
      </c>
      <c r="Y671">
        <f t="shared" si="80"/>
        <v>7821.22</v>
      </c>
      <c r="Z671">
        <v>4994.46</v>
      </c>
      <c r="AA671">
        <v>2826.76</v>
      </c>
      <c r="AB671">
        <f t="shared" si="85"/>
        <v>2826.76</v>
      </c>
      <c r="AC671" s="8">
        <f t="shared" si="86"/>
        <v>0.36142187535959863</v>
      </c>
      <c r="AD671" t="s">
        <v>32</v>
      </c>
      <c r="AE671" t="s">
        <v>33</v>
      </c>
      <c r="AF671" t="str">
        <f t="shared" si="87"/>
        <v>Perfect Match</v>
      </c>
    </row>
    <row r="672" spans="1:32">
      <c r="A672" t="str">
        <f>IF(OR(I672&lt;0, ISTEXT(W672), ISTEXT(Y672)), "Invalid", IF(OR(B672="Conflicting Duplicate", M672="Unknown", S672="Unknown"), "Warning", "Valid"))</f>
        <v>Valid</v>
      </c>
      <c r="B672" t="str">
        <f t="shared" si="81"/>
        <v>-</v>
      </c>
      <c r="C672" t="s">
        <v>1259</v>
      </c>
      <c r="D672" s="2">
        <v>45919</v>
      </c>
      <c r="E672" t="str">
        <f t="shared" si="82"/>
        <v>September</v>
      </c>
      <c r="F672">
        <f t="shared" si="83"/>
        <v>2025</v>
      </c>
      <c r="G672" s="2">
        <v>45923</v>
      </c>
      <c r="H672" t="s">
        <v>1260</v>
      </c>
      <c r="I672">
        <f t="shared" si="84"/>
        <v>4</v>
      </c>
      <c r="J672" t="s">
        <v>2795</v>
      </c>
      <c r="K672" t="s">
        <v>53</v>
      </c>
      <c r="L672" t="s">
        <v>1261</v>
      </c>
      <c r="M672" t="s">
        <v>25</v>
      </c>
      <c r="N672" t="s">
        <v>350</v>
      </c>
      <c r="O672" t="s">
        <v>351</v>
      </c>
      <c r="P672" t="s">
        <v>28</v>
      </c>
      <c r="Q672" t="s">
        <v>153</v>
      </c>
      <c r="R672" t="s">
        <v>1262</v>
      </c>
      <c r="S672" t="s">
        <v>59</v>
      </c>
      <c r="T672">
        <v>4</v>
      </c>
      <c r="U672">
        <v>4387.1499999999996</v>
      </c>
      <c r="V672">
        <v>0.05</v>
      </c>
      <c r="W672">
        <v>0.05</v>
      </c>
      <c r="X672">
        <v>16671.169999999998</v>
      </c>
      <c r="Y672">
        <f t="shared" si="80"/>
        <v>16671.169999999998</v>
      </c>
      <c r="Z672">
        <v>10833.19</v>
      </c>
      <c r="AA672">
        <v>5837.98</v>
      </c>
      <c r="AB672">
        <f t="shared" si="85"/>
        <v>5837.9799999999977</v>
      </c>
      <c r="AC672" s="8">
        <f t="shared" si="86"/>
        <v>0.35018418023450054</v>
      </c>
      <c r="AD672" t="s">
        <v>155</v>
      </c>
      <c r="AE672" t="s">
        <v>68</v>
      </c>
      <c r="AF672" t="str">
        <f t="shared" si="87"/>
        <v>Perfect Match</v>
      </c>
    </row>
    <row r="673" spans="1:32">
      <c r="A673" t="str">
        <f>IF(OR(I673&lt;0, ISTEXT(W673), ISTEXT(Y673)), "Invalid", IF(OR(B673="Conflicting Duplicate", M673="Unknown", S673="Unknown"), "Warning", "Valid"))</f>
        <v>Valid</v>
      </c>
      <c r="B673" t="str">
        <f t="shared" si="81"/>
        <v>-</v>
      </c>
      <c r="C673" t="s">
        <v>1263</v>
      </c>
      <c r="D673" s="2">
        <v>45720</v>
      </c>
      <c r="E673" t="str">
        <f t="shared" si="82"/>
        <v>March</v>
      </c>
      <c r="F673">
        <f t="shared" si="83"/>
        <v>2025</v>
      </c>
      <c r="G673" s="2">
        <v>45724</v>
      </c>
      <c r="H673" t="s">
        <v>157</v>
      </c>
      <c r="I673">
        <f t="shared" si="84"/>
        <v>4</v>
      </c>
      <c r="J673" t="s">
        <v>2795</v>
      </c>
      <c r="K673" t="s">
        <v>53</v>
      </c>
      <c r="L673" t="s">
        <v>37</v>
      </c>
      <c r="M673" t="s">
        <v>38</v>
      </c>
      <c r="N673" t="s">
        <v>145</v>
      </c>
      <c r="O673" t="s">
        <v>146</v>
      </c>
      <c r="P673" t="s">
        <v>1264</v>
      </c>
      <c r="Q673" t="s">
        <v>171</v>
      </c>
      <c r="R673" t="s">
        <v>1265</v>
      </c>
      <c r="S673" t="s">
        <v>50</v>
      </c>
      <c r="T673">
        <v>3</v>
      </c>
      <c r="U673">
        <v>4361.8500000000004</v>
      </c>
      <c r="V673">
        <v>0.2</v>
      </c>
      <c r="W673">
        <v>0.2</v>
      </c>
      <c r="X673">
        <v>10468.44</v>
      </c>
      <c r="Y673">
        <f t="shared" si="80"/>
        <v>10468.44</v>
      </c>
      <c r="Z673">
        <v>8399.8700000000008</v>
      </c>
      <c r="AA673">
        <v>2068.5700000000002</v>
      </c>
      <c r="AB673">
        <f t="shared" si="85"/>
        <v>2068.5699999999997</v>
      </c>
      <c r="AC673" s="8">
        <f t="shared" si="86"/>
        <v>0.19760059760575593</v>
      </c>
      <c r="AD673" t="s">
        <v>32</v>
      </c>
      <c r="AE673" t="s">
        <v>33</v>
      </c>
      <c r="AF673" t="str">
        <f t="shared" si="87"/>
        <v>Perfect Match</v>
      </c>
    </row>
    <row r="674" spans="1:32">
      <c r="A674" t="str">
        <f>IF(OR(I674&lt;0, ISTEXT(W674), ISTEXT(Y674)), "Invalid", IF(OR(B674="Conflicting Duplicate", M674="Unknown", S674="Unknown"), "Warning", "Valid"))</f>
        <v>Valid</v>
      </c>
      <c r="B674" t="str">
        <f t="shared" si="81"/>
        <v>-</v>
      </c>
      <c r="C674" t="s">
        <v>1266</v>
      </c>
      <c r="D674" s="2">
        <v>45836</v>
      </c>
      <c r="E674" t="str">
        <f t="shared" si="82"/>
        <v>June</v>
      </c>
      <c r="F674">
        <f t="shared" si="83"/>
        <v>2025</v>
      </c>
      <c r="G674" s="2">
        <v>45843</v>
      </c>
      <c r="H674" t="s">
        <v>1267</v>
      </c>
      <c r="I674">
        <f t="shared" si="84"/>
        <v>7</v>
      </c>
      <c r="J674" t="s">
        <v>2795</v>
      </c>
      <c r="K674" t="s">
        <v>71</v>
      </c>
      <c r="L674" t="s">
        <v>90</v>
      </c>
      <c r="M674" t="s">
        <v>38</v>
      </c>
      <c r="N674" t="s">
        <v>99</v>
      </c>
      <c r="O674" t="s">
        <v>100</v>
      </c>
      <c r="P674" t="s">
        <v>28</v>
      </c>
      <c r="Q674" t="s">
        <v>48</v>
      </c>
      <c r="R674" t="s">
        <v>1268</v>
      </c>
      <c r="S674" t="s">
        <v>50</v>
      </c>
      <c r="T674">
        <v>2</v>
      </c>
      <c r="U674">
        <v>2242.75</v>
      </c>
      <c r="V674">
        <v>0</v>
      </c>
      <c r="W674">
        <v>0</v>
      </c>
      <c r="X674">
        <v>4485.5</v>
      </c>
      <c r="Y674">
        <f t="shared" si="80"/>
        <v>4485.5</v>
      </c>
      <c r="Z674">
        <v>3131.86</v>
      </c>
      <c r="AA674">
        <v>1353.64</v>
      </c>
      <c r="AB674">
        <f t="shared" si="85"/>
        <v>1353.6399999999999</v>
      </c>
      <c r="AC674" s="8">
        <f t="shared" si="86"/>
        <v>0.30178129528480657</v>
      </c>
      <c r="AD674" t="s">
        <v>32</v>
      </c>
      <c r="AE674" t="s">
        <v>68</v>
      </c>
      <c r="AF674" t="str">
        <f t="shared" si="87"/>
        <v>Perfect Match</v>
      </c>
    </row>
    <row r="675" spans="1:32">
      <c r="A675" t="str">
        <f>IF(OR(I675&lt;0, ISTEXT(W675), ISTEXT(Y675)), "Invalid", IF(OR(B675="Conflicting Duplicate", M675="Unknown", S675="Unknown"), "Warning", "Valid"))</f>
        <v>Valid</v>
      </c>
      <c r="B675" t="str">
        <f t="shared" si="81"/>
        <v>-</v>
      </c>
      <c r="C675" t="s">
        <v>1272</v>
      </c>
      <c r="D675" s="2">
        <v>45832</v>
      </c>
      <c r="E675" t="str">
        <f t="shared" si="82"/>
        <v>June</v>
      </c>
      <c r="F675">
        <f t="shared" si="83"/>
        <v>2025</v>
      </c>
      <c r="G675" s="2">
        <v>45838</v>
      </c>
      <c r="H675" t="s">
        <v>1273</v>
      </c>
      <c r="I675">
        <f t="shared" si="84"/>
        <v>6</v>
      </c>
      <c r="J675" t="s">
        <v>2795</v>
      </c>
      <c r="K675" t="s">
        <v>53</v>
      </c>
      <c r="L675" t="s">
        <v>24</v>
      </c>
      <c r="M675" t="s">
        <v>25</v>
      </c>
      <c r="N675" t="s">
        <v>236</v>
      </c>
      <c r="O675" t="s">
        <v>237</v>
      </c>
      <c r="P675" t="s">
        <v>28</v>
      </c>
      <c r="Q675" t="s">
        <v>91</v>
      </c>
      <c r="R675" t="s">
        <v>1274</v>
      </c>
      <c r="S675" t="s">
        <v>59</v>
      </c>
      <c r="T675">
        <v>6</v>
      </c>
      <c r="U675">
        <v>365.76</v>
      </c>
      <c r="V675">
        <v>0.1</v>
      </c>
      <c r="W675">
        <v>0.1</v>
      </c>
      <c r="X675">
        <v>1975.1</v>
      </c>
      <c r="Y675">
        <f t="shared" si="80"/>
        <v>1975.1</v>
      </c>
      <c r="Z675">
        <v>1115.3499999999999</v>
      </c>
      <c r="AA675">
        <v>859.75</v>
      </c>
      <c r="AB675">
        <f t="shared" si="85"/>
        <v>859.75</v>
      </c>
      <c r="AC675" s="8">
        <f t="shared" si="86"/>
        <v>0.43529441547263431</v>
      </c>
      <c r="AD675" t="s">
        <v>32</v>
      </c>
      <c r="AE675" t="s">
        <v>33</v>
      </c>
      <c r="AF675" t="str">
        <f t="shared" si="87"/>
        <v>Perfect Match</v>
      </c>
    </row>
    <row r="676" spans="1:32">
      <c r="A676" t="str">
        <f>IF(OR(I676&lt;0, ISTEXT(W676), ISTEXT(Y676)), "Invalid", IF(OR(B676="Conflicting Duplicate", M676="Unknown", S676="Unknown"), "Warning", "Valid"))</f>
        <v>Valid</v>
      </c>
      <c r="B676" t="str">
        <f t="shared" si="81"/>
        <v>-</v>
      </c>
      <c r="C676" t="s">
        <v>1275</v>
      </c>
      <c r="D676" s="2">
        <v>45700</v>
      </c>
      <c r="E676" t="str">
        <f t="shared" si="82"/>
        <v>February</v>
      </c>
      <c r="F676">
        <f t="shared" si="83"/>
        <v>2025</v>
      </c>
      <c r="G676" s="2">
        <v>45702</v>
      </c>
      <c r="H676" t="s">
        <v>1276</v>
      </c>
      <c r="I676">
        <f t="shared" si="84"/>
        <v>2</v>
      </c>
      <c r="J676" t="s">
        <v>2795</v>
      </c>
      <c r="K676" t="s">
        <v>132</v>
      </c>
      <c r="L676" t="s">
        <v>24</v>
      </c>
      <c r="M676" t="s">
        <v>63</v>
      </c>
      <c r="N676" t="s">
        <v>64</v>
      </c>
      <c r="O676" t="s">
        <v>65</v>
      </c>
      <c r="P676" t="s">
        <v>41</v>
      </c>
      <c r="Q676" t="s">
        <v>57</v>
      </c>
      <c r="R676" t="s">
        <v>1277</v>
      </c>
      <c r="S676" t="s">
        <v>31</v>
      </c>
      <c r="T676">
        <v>8</v>
      </c>
      <c r="U676">
        <v>2786.66</v>
      </c>
      <c r="V676">
        <v>0.1</v>
      </c>
      <c r="W676">
        <v>0.1</v>
      </c>
      <c r="X676">
        <v>20063.95</v>
      </c>
      <c r="Y676">
        <f t="shared" si="80"/>
        <v>20063.95</v>
      </c>
      <c r="Z676">
        <v>14363.38</v>
      </c>
      <c r="AA676">
        <v>5700.57</v>
      </c>
      <c r="AB676">
        <f t="shared" si="85"/>
        <v>5700.5700000000015</v>
      </c>
      <c r="AC676" s="8">
        <f t="shared" si="86"/>
        <v>0.28412002621617383</v>
      </c>
      <c r="AD676" t="s">
        <v>32</v>
      </c>
      <c r="AE676" t="s">
        <v>33</v>
      </c>
      <c r="AF676" t="str">
        <f t="shared" si="87"/>
        <v>Perfect Match</v>
      </c>
    </row>
    <row r="677" spans="1:32">
      <c r="A677" s="6" t="str">
        <f>IF(OR(I677&lt;0, ISTEXT(W677), ISTEXT(Y677)), "Invalid", IF(OR(B677="Conflicting Duplicate", M677="Unknown", S677="Unknown"), "Warning", "Valid"))</f>
        <v>Invalid</v>
      </c>
      <c r="B677" t="str">
        <f t="shared" si="81"/>
        <v>-</v>
      </c>
      <c r="C677" t="s">
        <v>1278</v>
      </c>
      <c r="D677" s="2">
        <v>45938</v>
      </c>
      <c r="E677" t="str">
        <f t="shared" si="82"/>
        <v>October</v>
      </c>
      <c r="F677">
        <f t="shared" si="83"/>
        <v>2025</v>
      </c>
      <c r="G677" s="2">
        <v>45882</v>
      </c>
      <c r="H677" t="s">
        <v>1279</v>
      </c>
      <c r="I677" s="7">
        <f t="shared" si="84"/>
        <v>-56</v>
      </c>
      <c r="J677" s="7" t="s">
        <v>2802</v>
      </c>
      <c r="K677" t="s">
        <v>114</v>
      </c>
      <c r="L677" t="s">
        <v>37</v>
      </c>
      <c r="M677" t="s">
        <v>63</v>
      </c>
      <c r="N677" t="s">
        <v>72</v>
      </c>
      <c r="O677" t="s">
        <v>73</v>
      </c>
      <c r="P677" t="s">
        <v>41</v>
      </c>
      <c r="Q677" t="s">
        <v>66</v>
      </c>
      <c r="R677" t="s">
        <v>1280</v>
      </c>
      <c r="S677" t="s">
        <v>59</v>
      </c>
      <c r="T677">
        <v>5</v>
      </c>
      <c r="U677">
        <v>352.86</v>
      </c>
      <c r="V677">
        <v>0</v>
      </c>
      <c r="W677">
        <v>0</v>
      </c>
      <c r="X677">
        <v>1764.3</v>
      </c>
      <c r="Y677">
        <f t="shared" si="80"/>
        <v>1764.3</v>
      </c>
      <c r="Z677">
        <v>1332.49</v>
      </c>
      <c r="AA677">
        <v>431.81</v>
      </c>
      <c r="AB677">
        <f t="shared" si="85"/>
        <v>431.80999999999995</v>
      </c>
      <c r="AC677" s="8">
        <f t="shared" si="86"/>
        <v>0.24474862551720228</v>
      </c>
      <c r="AD677" t="s">
        <v>111</v>
      </c>
      <c r="AE677" t="s">
        <v>68</v>
      </c>
      <c r="AF677" t="str">
        <f t="shared" si="87"/>
        <v>Perfect Match</v>
      </c>
    </row>
    <row r="678" spans="1:32">
      <c r="A678" t="str">
        <f>IF(OR(I678&lt;0, ISTEXT(W678), ISTEXT(Y678)), "Invalid", IF(OR(B678="Conflicting Duplicate", M678="Unknown", S678="Unknown"), "Warning", "Valid"))</f>
        <v>Valid</v>
      </c>
      <c r="B678" t="str">
        <f t="shared" si="81"/>
        <v>-</v>
      </c>
      <c r="C678" t="s">
        <v>1290</v>
      </c>
      <c r="D678" s="2">
        <v>45702</v>
      </c>
      <c r="E678" t="str">
        <f t="shared" si="82"/>
        <v>February</v>
      </c>
      <c r="F678">
        <f t="shared" si="83"/>
        <v>2025</v>
      </c>
      <c r="G678" s="2">
        <v>45702</v>
      </c>
      <c r="H678" t="s">
        <v>1291</v>
      </c>
      <c r="I678">
        <f t="shared" si="84"/>
        <v>0</v>
      </c>
      <c r="J678" t="s">
        <v>2795</v>
      </c>
      <c r="K678" t="s">
        <v>162</v>
      </c>
      <c r="L678" t="s">
        <v>24</v>
      </c>
      <c r="M678" t="s">
        <v>54</v>
      </c>
      <c r="N678" t="s">
        <v>175</v>
      </c>
      <c r="O678" t="s">
        <v>176</v>
      </c>
      <c r="P678" t="s">
        <v>28</v>
      </c>
      <c r="Q678" t="s">
        <v>124</v>
      </c>
      <c r="R678" t="s">
        <v>1292</v>
      </c>
      <c r="S678" t="s">
        <v>50</v>
      </c>
      <c r="T678">
        <v>1</v>
      </c>
      <c r="U678">
        <v>714.43</v>
      </c>
      <c r="V678">
        <v>0</v>
      </c>
      <c r="W678">
        <v>0</v>
      </c>
      <c r="X678">
        <v>714.43</v>
      </c>
      <c r="Y678">
        <f t="shared" si="80"/>
        <v>714.43</v>
      </c>
      <c r="Z678">
        <v>565.44000000000005</v>
      </c>
      <c r="AA678">
        <v>148.99</v>
      </c>
      <c r="AB678">
        <f t="shared" si="85"/>
        <v>148.9899999999999</v>
      </c>
      <c r="AC678" s="8">
        <f t="shared" si="86"/>
        <v>0.20854387413742412</v>
      </c>
      <c r="AD678" t="s">
        <v>32</v>
      </c>
      <c r="AE678" t="s">
        <v>33</v>
      </c>
      <c r="AF678" t="str">
        <f t="shared" si="87"/>
        <v>Perfect Match</v>
      </c>
    </row>
    <row r="679" spans="1:32">
      <c r="A679" t="str">
        <f>IF(OR(I679&lt;0, ISTEXT(W679), ISTEXT(Y679)), "Invalid", IF(OR(B679="Conflicting Duplicate", M679="Unknown", S679="Unknown"), "Warning", "Valid"))</f>
        <v>Valid</v>
      </c>
      <c r="B679" t="str">
        <f t="shared" si="81"/>
        <v>-</v>
      </c>
      <c r="C679" t="s">
        <v>1305</v>
      </c>
      <c r="D679" s="2">
        <v>45761</v>
      </c>
      <c r="E679" t="str">
        <f t="shared" si="82"/>
        <v>April</v>
      </c>
      <c r="F679">
        <f t="shared" si="83"/>
        <v>2025</v>
      </c>
      <c r="G679" s="2">
        <v>45769</v>
      </c>
      <c r="H679" t="s">
        <v>1306</v>
      </c>
      <c r="I679">
        <f t="shared" si="84"/>
        <v>8</v>
      </c>
      <c r="J679" t="s">
        <v>2795</v>
      </c>
      <c r="K679" t="s">
        <v>89</v>
      </c>
      <c r="L679" t="s">
        <v>37</v>
      </c>
      <c r="M679" t="s">
        <v>54</v>
      </c>
      <c r="N679" t="s">
        <v>175</v>
      </c>
      <c r="O679" t="s">
        <v>176</v>
      </c>
      <c r="P679" t="s">
        <v>74</v>
      </c>
      <c r="Q679" t="s">
        <v>274</v>
      </c>
      <c r="R679" t="s">
        <v>1307</v>
      </c>
      <c r="S679" t="s">
        <v>59</v>
      </c>
      <c r="T679">
        <v>2</v>
      </c>
      <c r="U679">
        <v>638.73</v>
      </c>
      <c r="V679">
        <v>0.05</v>
      </c>
      <c r="W679">
        <v>0.05</v>
      </c>
      <c r="X679">
        <v>1213.5899999999999</v>
      </c>
      <c r="Y679">
        <f t="shared" si="80"/>
        <v>1213.5899999999999</v>
      </c>
      <c r="Z679">
        <v>956.22</v>
      </c>
      <c r="AA679">
        <v>257.37</v>
      </c>
      <c r="AB679">
        <f t="shared" si="85"/>
        <v>257.36999999999989</v>
      </c>
      <c r="AC679" s="8">
        <f t="shared" si="86"/>
        <v>0.21207327021481712</v>
      </c>
      <c r="AD679" t="s">
        <v>32</v>
      </c>
      <c r="AE679" t="s">
        <v>33</v>
      </c>
      <c r="AF679" t="str">
        <f t="shared" si="87"/>
        <v>Perfect Match</v>
      </c>
    </row>
    <row r="680" spans="1:32">
      <c r="A680" t="str">
        <f>IF(OR(I680&lt;0, ISTEXT(W680), ISTEXT(Y680)), "Invalid", IF(OR(B680="Conflicting Duplicate", M680="Unknown", S680="Unknown"), "Warning", "Valid"))</f>
        <v>Valid</v>
      </c>
      <c r="B680" t="str">
        <f t="shared" si="81"/>
        <v>-</v>
      </c>
      <c r="C680" t="s">
        <v>1308</v>
      </c>
      <c r="D680" s="2">
        <v>45817</v>
      </c>
      <c r="E680" t="str">
        <f t="shared" si="82"/>
        <v>June</v>
      </c>
      <c r="F680">
        <f t="shared" si="83"/>
        <v>2025</v>
      </c>
      <c r="G680" s="2">
        <v>45818</v>
      </c>
      <c r="H680" t="s">
        <v>1309</v>
      </c>
      <c r="I680">
        <f t="shared" si="84"/>
        <v>1</v>
      </c>
      <c r="J680" t="s">
        <v>2795</v>
      </c>
      <c r="K680" t="s">
        <v>132</v>
      </c>
      <c r="L680" t="s">
        <v>37</v>
      </c>
      <c r="M680" t="s">
        <v>25</v>
      </c>
      <c r="N680" t="s">
        <v>136</v>
      </c>
      <c r="O680" t="s">
        <v>137</v>
      </c>
      <c r="P680" t="s">
        <v>41</v>
      </c>
      <c r="Q680" t="s">
        <v>42</v>
      </c>
      <c r="R680" t="s">
        <v>1310</v>
      </c>
      <c r="S680" t="s">
        <v>31</v>
      </c>
      <c r="T680">
        <v>2</v>
      </c>
      <c r="U680">
        <v>1731.88</v>
      </c>
      <c r="V680">
        <v>0</v>
      </c>
      <c r="W680">
        <v>0</v>
      </c>
      <c r="X680">
        <v>3463.76</v>
      </c>
      <c r="Y680">
        <f t="shared" si="80"/>
        <v>3463.76</v>
      </c>
      <c r="Z680">
        <v>2143.7399999999998</v>
      </c>
      <c r="AA680">
        <v>1320.02</v>
      </c>
      <c r="AB680">
        <f t="shared" si="85"/>
        <v>1320.0200000000004</v>
      </c>
      <c r="AC680" s="8">
        <f t="shared" si="86"/>
        <v>0.38109453310852959</v>
      </c>
      <c r="AD680" t="s">
        <v>32</v>
      </c>
      <c r="AE680" t="s">
        <v>33</v>
      </c>
      <c r="AF680" t="str">
        <f t="shared" si="87"/>
        <v>Perfect Match</v>
      </c>
    </row>
    <row r="681" spans="1:32">
      <c r="A681" t="str">
        <f>IF(OR(I681&lt;0, ISTEXT(W681), ISTEXT(Y681)), "Invalid", IF(OR(B681="Conflicting Duplicate", M681="Unknown", S681="Unknown"), "Warning", "Valid"))</f>
        <v>Valid</v>
      </c>
      <c r="B681" t="str">
        <f t="shared" si="81"/>
        <v>-</v>
      </c>
      <c r="C681" t="s">
        <v>1314</v>
      </c>
      <c r="D681" s="2">
        <v>45771</v>
      </c>
      <c r="E681" t="str">
        <f t="shared" si="82"/>
        <v>April</v>
      </c>
      <c r="F681">
        <f t="shared" si="83"/>
        <v>2025</v>
      </c>
      <c r="G681" s="2">
        <v>45776</v>
      </c>
      <c r="H681" t="s">
        <v>1315</v>
      </c>
      <c r="I681">
        <f t="shared" si="84"/>
        <v>5</v>
      </c>
      <c r="J681" t="s">
        <v>2795</v>
      </c>
      <c r="K681" t="s">
        <v>162</v>
      </c>
      <c r="L681" t="s">
        <v>37</v>
      </c>
      <c r="M681" t="s">
        <v>54</v>
      </c>
      <c r="N681" t="s">
        <v>84</v>
      </c>
      <c r="O681" t="s">
        <v>85</v>
      </c>
      <c r="P681" t="s">
        <v>28</v>
      </c>
      <c r="Q681" t="s">
        <v>29</v>
      </c>
      <c r="R681" t="s">
        <v>1316</v>
      </c>
      <c r="S681" t="s">
        <v>44</v>
      </c>
      <c r="T681">
        <v>1</v>
      </c>
      <c r="U681">
        <v>4358.5</v>
      </c>
      <c r="V681">
        <v>0.25</v>
      </c>
      <c r="W681">
        <v>0.25</v>
      </c>
      <c r="X681">
        <v>3268.88</v>
      </c>
      <c r="Y681">
        <f t="shared" si="80"/>
        <v>3268.88</v>
      </c>
      <c r="Z681">
        <v>1993.74</v>
      </c>
      <c r="AA681">
        <v>1275.1400000000001</v>
      </c>
      <c r="AB681">
        <f t="shared" si="85"/>
        <v>1275.1400000000001</v>
      </c>
      <c r="AC681" s="8">
        <f t="shared" si="86"/>
        <v>0.39008467732067253</v>
      </c>
      <c r="AD681" t="s">
        <v>32</v>
      </c>
      <c r="AE681" t="s">
        <v>33</v>
      </c>
      <c r="AF681" t="str">
        <f t="shared" si="87"/>
        <v>Perfect Match</v>
      </c>
    </row>
    <row r="682" spans="1:32">
      <c r="A682" s="6" t="str">
        <f>IF(OR(I682&lt;0, ISTEXT(W682), ISTEXT(Y682)), "Invalid", IF(OR(B682="Conflicting Duplicate", M682="Unknown", S682="Unknown"), "Warning", "Valid"))</f>
        <v>Invalid</v>
      </c>
      <c r="B682" t="str">
        <f t="shared" si="81"/>
        <v>-</v>
      </c>
      <c r="C682" t="s">
        <v>1317</v>
      </c>
      <c r="D682" s="2">
        <v>45814</v>
      </c>
      <c r="E682" t="str">
        <f t="shared" si="82"/>
        <v>June</v>
      </c>
      <c r="F682">
        <f t="shared" si="83"/>
        <v>2025</v>
      </c>
      <c r="G682" s="2">
        <v>45819</v>
      </c>
      <c r="H682" t="s">
        <v>1318</v>
      </c>
      <c r="I682">
        <f t="shared" si="84"/>
        <v>5</v>
      </c>
      <c r="J682" t="s">
        <v>2795</v>
      </c>
      <c r="K682" t="s">
        <v>132</v>
      </c>
      <c r="L682" t="s">
        <v>37</v>
      </c>
      <c r="M682" t="s">
        <v>25</v>
      </c>
      <c r="N682" t="s">
        <v>136</v>
      </c>
      <c r="O682" t="s">
        <v>137</v>
      </c>
      <c r="P682" t="s">
        <v>28</v>
      </c>
      <c r="Q682" t="s">
        <v>29</v>
      </c>
      <c r="R682" t="s">
        <v>1319</v>
      </c>
      <c r="S682" t="s">
        <v>44</v>
      </c>
      <c r="T682">
        <v>7</v>
      </c>
      <c r="U682">
        <v>878.09</v>
      </c>
      <c r="V682">
        <v>-0.1</v>
      </c>
      <c r="W682" s="4" t="s">
        <v>2794</v>
      </c>
      <c r="X682">
        <v>5839.3</v>
      </c>
      <c r="Y682" s="4" t="str">
        <f t="shared" si="80"/>
        <v>Cannot Calculate</v>
      </c>
      <c r="Z682">
        <v>4877.38</v>
      </c>
      <c r="AA682">
        <v>961.92</v>
      </c>
      <c r="AB682" s="4" t="str">
        <f t="shared" si="85"/>
        <v>Cannot Calculate</v>
      </c>
      <c r="AC682" s="9">
        <f t="shared" si="86"/>
        <v>0</v>
      </c>
      <c r="AD682" t="s">
        <v>32</v>
      </c>
      <c r="AE682" t="s">
        <v>33</v>
      </c>
      <c r="AF682" t="str">
        <f t="shared" si="87"/>
        <v>Calculation Blocked</v>
      </c>
    </row>
    <row r="683" spans="1:32">
      <c r="A683" t="str">
        <f>IF(OR(I683&lt;0, ISTEXT(W683), ISTEXT(Y683)), "Invalid", IF(OR(B683="Conflicting Duplicate", M683="Unknown", S683="Unknown"), "Warning", "Valid"))</f>
        <v>Valid</v>
      </c>
      <c r="B683" t="str">
        <f t="shared" si="81"/>
        <v>-</v>
      </c>
      <c r="C683" t="s">
        <v>1320</v>
      </c>
      <c r="D683" s="2">
        <v>45725</v>
      </c>
      <c r="E683" t="str">
        <f t="shared" si="82"/>
        <v>March</v>
      </c>
      <c r="F683">
        <f t="shared" si="83"/>
        <v>2025</v>
      </c>
      <c r="G683" s="2">
        <v>45732</v>
      </c>
      <c r="H683" t="s">
        <v>1321</v>
      </c>
      <c r="I683">
        <f t="shared" si="84"/>
        <v>7</v>
      </c>
      <c r="J683" t="s">
        <v>2795</v>
      </c>
      <c r="K683" t="s">
        <v>53</v>
      </c>
      <c r="L683" t="s">
        <v>37</v>
      </c>
      <c r="M683" t="s">
        <v>38</v>
      </c>
      <c r="N683" t="s">
        <v>228</v>
      </c>
      <c r="O683" t="s">
        <v>229</v>
      </c>
      <c r="P683" t="s">
        <v>41</v>
      </c>
      <c r="Q683" t="s">
        <v>42</v>
      </c>
      <c r="R683" t="s">
        <v>1322</v>
      </c>
      <c r="S683" t="s">
        <v>44</v>
      </c>
      <c r="T683">
        <v>3</v>
      </c>
      <c r="U683">
        <v>2625.85</v>
      </c>
      <c r="V683">
        <v>0</v>
      </c>
      <c r="W683">
        <v>0</v>
      </c>
      <c r="X683">
        <v>7877.55</v>
      </c>
      <c r="Y683">
        <f t="shared" si="80"/>
        <v>7877.55</v>
      </c>
      <c r="Z683">
        <v>5562.77</v>
      </c>
      <c r="AA683">
        <v>2314.7800000000002</v>
      </c>
      <c r="AB683">
        <f t="shared" si="85"/>
        <v>2314.7799999999997</v>
      </c>
      <c r="AC683" s="8">
        <f t="shared" si="86"/>
        <v>0.29384516759652424</v>
      </c>
      <c r="AD683" t="s">
        <v>32</v>
      </c>
      <c r="AE683" t="s">
        <v>33</v>
      </c>
      <c r="AF683" t="str">
        <f t="shared" si="87"/>
        <v>Perfect Match</v>
      </c>
    </row>
    <row r="684" spans="1:32">
      <c r="A684" t="str">
        <f>IF(OR(I684&lt;0, ISTEXT(W684), ISTEXT(Y684)), "Invalid", IF(OR(B684="Conflicting Duplicate", M684="Unknown", S684="Unknown"), "Warning", "Valid"))</f>
        <v>Valid</v>
      </c>
      <c r="B684" t="str">
        <f t="shared" si="81"/>
        <v>-</v>
      </c>
      <c r="C684" t="s">
        <v>1336</v>
      </c>
      <c r="D684" s="2">
        <v>45713</v>
      </c>
      <c r="E684" t="str">
        <f t="shared" si="82"/>
        <v>February</v>
      </c>
      <c r="F684">
        <f t="shared" si="83"/>
        <v>2025</v>
      </c>
      <c r="G684" s="2">
        <v>45713</v>
      </c>
      <c r="H684" t="s">
        <v>1337</v>
      </c>
      <c r="I684">
        <f t="shared" si="84"/>
        <v>0</v>
      </c>
      <c r="J684" t="s">
        <v>2795</v>
      </c>
      <c r="K684" t="s">
        <v>264</v>
      </c>
      <c r="L684" t="s">
        <v>37</v>
      </c>
      <c r="M684" t="s">
        <v>63</v>
      </c>
      <c r="N684" t="s">
        <v>190</v>
      </c>
      <c r="O684" t="s">
        <v>191</v>
      </c>
      <c r="P684" t="s">
        <v>41</v>
      </c>
      <c r="Q684" t="s">
        <v>57</v>
      </c>
      <c r="R684" t="s">
        <v>1338</v>
      </c>
      <c r="S684" t="s">
        <v>59</v>
      </c>
      <c r="T684">
        <v>2</v>
      </c>
      <c r="U684">
        <v>3924.2</v>
      </c>
      <c r="V684">
        <v>0.25</v>
      </c>
      <c r="W684">
        <v>0.25</v>
      </c>
      <c r="X684">
        <v>5886.3</v>
      </c>
      <c r="Y684">
        <f t="shared" si="80"/>
        <v>5886.3</v>
      </c>
      <c r="Z684">
        <v>3621.76</v>
      </c>
      <c r="AA684">
        <v>2264.54</v>
      </c>
      <c r="AB684">
        <f t="shared" si="85"/>
        <v>2264.54</v>
      </c>
      <c r="AC684" s="8">
        <f t="shared" si="86"/>
        <v>0.3847136571360617</v>
      </c>
      <c r="AD684" t="s">
        <v>111</v>
      </c>
      <c r="AE684" t="s">
        <v>103</v>
      </c>
      <c r="AF684" t="str">
        <f t="shared" si="87"/>
        <v>Perfect Match</v>
      </c>
    </row>
    <row r="685" spans="1:32">
      <c r="A685" t="str">
        <f>IF(OR(I685&lt;0, ISTEXT(W685), ISTEXT(Y685)), "Invalid", IF(OR(B685="Conflicting Duplicate", M685="Unknown", S685="Unknown"), "Warning", "Valid"))</f>
        <v>Valid</v>
      </c>
      <c r="B685" t="str">
        <f t="shared" si="81"/>
        <v>-</v>
      </c>
      <c r="C685" t="s">
        <v>1342</v>
      </c>
      <c r="D685" s="2">
        <v>45870</v>
      </c>
      <c r="E685" t="str">
        <f t="shared" si="82"/>
        <v>August</v>
      </c>
      <c r="F685">
        <f t="shared" si="83"/>
        <v>2025</v>
      </c>
      <c r="G685" s="2">
        <v>45872</v>
      </c>
      <c r="H685" t="s">
        <v>1343</v>
      </c>
      <c r="I685">
        <f t="shared" si="84"/>
        <v>2</v>
      </c>
      <c r="J685" t="s">
        <v>2795</v>
      </c>
      <c r="K685" t="s">
        <v>132</v>
      </c>
      <c r="L685" t="s">
        <v>24</v>
      </c>
      <c r="M685" t="s">
        <v>63</v>
      </c>
      <c r="N685" t="s">
        <v>64</v>
      </c>
      <c r="O685" t="s">
        <v>65</v>
      </c>
      <c r="P685" t="s">
        <v>41</v>
      </c>
      <c r="Q685" t="s">
        <v>66</v>
      </c>
      <c r="R685" t="s">
        <v>1344</v>
      </c>
      <c r="S685" t="s">
        <v>50</v>
      </c>
      <c r="T685">
        <v>4</v>
      </c>
      <c r="U685">
        <v>1773.46</v>
      </c>
      <c r="V685">
        <v>0</v>
      </c>
      <c r="W685">
        <v>0</v>
      </c>
      <c r="X685">
        <v>7093.84</v>
      </c>
      <c r="Y685">
        <f t="shared" si="80"/>
        <v>7093.84</v>
      </c>
      <c r="Z685">
        <v>4587.49</v>
      </c>
      <c r="AA685">
        <v>2506.35</v>
      </c>
      <c r="AB685">
        <f t="shared" si="85"/>
        <v>2506.3500000000004</v>
      </c>
      <c r="AC685" s="8">
        <f t="shared" si="86"/>
        <v>0.35331357910525191</v>
      </c>
      <c r="AD685" t="s">
        <v>155</v>
      </c>
      <c r="AE685" t="s">
        <v>103</v>
      </c>
      <c r="AF685" t="str">
        <f t="shared" si="87"/>
        <v>Perfect Match</v>
      </c>
    </row>
    <row r="686" spans="1:32">
      <c r="A686" t="str">
        <f>IF(OR(I686&lt;0, ISTEXT(W686), ISTEXT(Y686)), "Invalid", IF(OR(B686="Conflicting Duplicate", M686="Unknown", S686="Unknown"), "Warning", "Valid"))</f>
        <v>Valid</v>
      </c>
      <c r="B686" t="str">
        <f t="shared" si="81"/>
        <v>-</v>
      </c>
      <c r="C686" t="s">
        <v>1345</v>
      </c>
      <c r="D686" s="2">
        <v>45701</v>
      </c>
      <c r="E686" t="str">
        <f t="shared" si="82"/>
        <v>February</v>
      </c>
      <c r="F686">
        <f t="shared" si="83"/>
        <v>2025</v>
      </c>
      <c r="G686" s="2">
        <v>45703</v>
      </c>
      <c r="H686" t="s">
        <v>1346</v>
      </c>
      <c r="I686">
        <f t="shared" si="84"/>
        <v>2</v>
      </c>
      <c r="J686" t="s">
        <v>2795</v>
      </c>
      <c r="K686" t="s">
        <v>23</v>
      </c>
      <c r="L686" t="s">
        <v>24</v>
      </c>
      <c r="M686" t="s">
        <v>38</v>
      </c>
      <c r="N686" t="s">
        <v>166</v>
      </c>
      <c r="O686" t="s">
        <v>167</v>
      </c>
      <c r="P686" t="s">
        <v>74</v>
      </c>
      <c r="Q686" t="s">
        <v>75</v>
      </c>
      <c r="R686" t="s">
        <v>1347</v>
      </c>
      <c r="S686" t="s">
        <v>44</v>
      </c>
      <c r="T686">
        <v>1</v>
      </c>
      <c r="U686">
        <v>3025.46</v>
      </c>
      <c r="V686">
        <v>0.25</v>
      </c>
      <c r="W686">
        <v>0.25</v>
      </c>
      <c r="X686">
        <v>2269.1</v>
      </c>
      <c r="Y686">
        <f t="shared" si="80"/>
        <v>2269.1</v>
      </c>
      <c r="Z686">
        <v>1593.59</v>
      </c>
      <c r="AA686">
        <v>675.51</v>
      </c>
      <c r="AB686">
        <f t="shared" si="85"/>
        <v>675.51</v>
      </c>
      <c r="AC686" s="8">
        <f t="shared" si="86"/>
        <v>0.29769952844740205</v>
      </c>
      <c r="AD686" t="s">
        <v>102</v>
      </c>
      <c r="AE686" t="s">
        <v>103</v>
      </c>
      <c r="AF686" t="str">
        <f t="shared" si="87"/>
        <v>Perfect Match</v>
      </c>
    </row>
    <row r="687" spans="1:32">
      <c r="A687" t="str">
        <f>IF(OR(I687&lt;0, ISTEXT(W687), ISTEXT(Y687)), "Invalid", IF(OR(B687="Conflicting Duplicate", M687="Unknown", S687="Unknown"), "Warning", "Valid"))</f>
        <v>Valid</v>
      </c>
      <c r="B687" t="str">
        <f t="shared" si="81"/>
        <v>-</v>
      </c>
      <c r="C687" t="s">
        <v>1351</v>
      </c>
      <c r="D687" s="2">
        <v>45892</v>
      </c>
      <c r="E687" t="str">
        <f t="shared" si="82"/>
        <v>August</v>
      </c>
      <c r="F687">
        <f t="shared" si="83"/>
        <v>2025</v>
      </c>
      <c r="G687" s="2">
        <v>45897</v>
      </c>
      <c r="H687" t="s">
        <v>1352</v>
      </c>
      <c r="I687">
        <f t="shared" si="84"/>
        <v>5</v>
      </c>
      <c r="J687" t="s">
        <v>2795</v>
      </c>
      <c r="K687" t="s">
        <v>53</v>
      </c>
      <c r="L687" t="s">
        <v>95</v>
      </c>
      <c r="M687" t="s">
        <v>63</v>
      </c>
      <c r="N687" t="s">
        <v>26</v>
      </c>
      <c r="O687" t="s">
        <v>109</v>
      </c>
      <c r="P687" t="s">
        <v>41</v>
      </c>
      <c r="Q687" t="s">
        <v>42</v>
      </c>
      <c r="R687" t="s">
        <v>1353</v>
      </c>
      <c r="S687" t="s">
        <v>50</v>
      </c>
      <c r="T687">
        <v>1</v>
      </c>
      <c r="U687">
        <v>4167.8100000000004</v>
      </c>
      <c r="V687">
        <v>0.2</v>
      </c>
      <c r="W687">
        <v>0.2</v>
      </c>
      <c r="X687">
        <v>3334.25</v>
      </c>
      <c r="Y687">
        <f t="shared" si="80"/>
        <v>3334.25</v>
      </c>
      <c r="Z687">
        <v>2768.77</v>
      </c>
      <c r="AA687">
        <v>565.48</v>
      </c>
      <c r="AB687">
        <f t="shared" si="85"/>
        <v>565.48</v>
      </c>
      <c r="AC687" s="8">
        <f t="shared" si="86"/>
        <v>0.16959736072580042</v>
      </c>
      <c r="AD687" t="s">
        <v>155</v>
      </c>
      <c r="AE687" t="s">
        <v>103</v>
      </c>
      <c r="AF687" t="str">
        <f t="shared" si="87"/>
        <v>Perfect Match</v>
      </c>
    </row>
    <row r="688" spans="1:32">
      <c r="A688" t="str">
        <f>IF(OR(I688&lt;0, ISTEXT(W688), ISTEXT(Y688)), "Invalid", IF(OR(B688="Conflicting Duplicate", M688="Unknown", S688="Unknown"), "Warning", "Valid"))</f>
        <v>Valid</v>
      </c>
      <c r="B688" t="str">
        <f t="shared" si="81"/>
        <v>-</v>
      </c>
      <c r="C688" t="s">
        <v>1357</v>
      </c>
      <c r="D688" s="2">
        <v>45882</v>
      </c>
      <c r="E688" t="str">
        <f t="shared" si="82"/>
        <v>August</v>
      </c>
      <c r="F688">
        <f t="shared" si="83"/>
        <v>2025</v>
      </c>
      <c r="G688" s="2">
        <v>45886</v>
      </c>
      <c r="H688" t="s">
        <v>1358</v>
      </c>
      <c r="I688">
        <f t="shared" si="84"/>
        <v>4</v>
      </c>
      <c r="J688" t="s">
        <v>2795</v>
      </c>
      <c r="K688" t="s">
        <v>79</v>
      </c>
      <c r="L688" t="s">
        <v>95</v>
      </c>
      <c r="M688" t="s">
        <v>63</v>
      </c>
      <c r="N688" t="s">
        <v>72</v>
      </c>
      <c r="O688" t="s">
        <v>73</v>
      </c>
      <c r="P688" t="s">
        <v>74</v>
      </c>
      <c r="Q688" t="s">
        <v>75</v>
      </c>
      <c r="R688" t="s">
        <v>1359</v>
      </c>
      <c r="S688" t="s">
        <v>31</v>
      </c>
      <c r="T688">
        <v>8</v>
      </c>
      <c r="U688">
        <v>1918.23</v>
      </c>
      <c r="V688">
        <v>0</v>
      </c>
      <c r="W688">
        <v>0</v>
      </c>
      <c r="X688">
        <v>15345.84</v>
      </c>
      <c r="Y688">
        <f t="shared" si="80"/>
        <v>15345.84</v>
      </c>
      <c r="Z688">
        <v>10735.33</v>
      </c>
      <c r="AA688">
        <v>4610.51</v>
      </c>
      <c r="AB688">
        <f t="shared" si="85"/>
        <v>4610.51</v>
      </c>
      <c r="AC688" s="8">
        <f t="shared" si="86"/>
        <v>0.30044037993358463</v>
      </c>
      <c r="AD688" t="s">
        <v>111</v>
      </c>
      <c r="AE688" t="s">
        <v>68</v>
      </c>
      <c r="AF688" t="str">
        <f t="shared" si="87"/>
        <v>Perfect Match</v>
      </c>
    </row>
    <row r="689" spans="1:32">
      <c r="A689" t="str">
        <f>IF(OR(I689&lt;0, ISTEXT(W689), ISTEXT(Y689)), "Invalid", IF(OR(B689="Conflicting Duplicate", M689="Unknown", S689="Unknown"), "Warning", "Valid"))</f>
        <v>Valid</v>
      </c>
      <c r="B689" t="str">
        <f t="shared" si="81"/>
        <v>-</v>
      </c>
      <c r="C689" t="s">
        <v>1366</v>
      </c>
      <c r="D689" s="2">
        <v>45665</v>
      </c>
      <c r="E689" t="str">
        <f t="shared" si="82"/>
        <v>January</v>
      </c>
      <c r="F689">
        <f t="shared" si="83"/>
        <v>2025</v>
      </c>
      <c r="G689" s="2">
        <v>45673</v>
      </c>
      <c r="H689" t="s">
        <v>1367</v>
      </c>
      <c r="I689">
        <f t="shared" si="84"/>
        <v>8</v>
      </c>
      <c r="J689" t="s">
        <v>2795</v>
      </c>
      <c r="K689" t="s">
        <v>79</v>
      </c>
      <c r="L689" t="s">
        <v>24</v>
      </c>
      <c r="M689" t="s">
        <v>54</v>
      </c>
      <c r="N689" t="s">
        <v>55</v>
      </c>
      <c r="O689" t="s">
        <v>56</v>
      </c>
      <c r="P689" t="s">
        <v>41</v>
      </c>
      <c r="Q689" t="s">
        <v>57</v>
      </c>
      <c r="R689" t="s">
        <v>1368</v>
      </c>
      <c r="S689" t="s">
        <v>50</v>
      </c>
      <c r="T689">
        <v>8</v>
      </c>
      <c r="U689">
        <v>638.95000000000005</v>
      </c>
      <c r="V689">
        <v>0.25</v>
      </c>
      <c r="W689">
        <v>0.25</v>
      </c>
      <c r="X689">
        <v>3833.7</v>
      </c>
      <c r="Y689">
        <f t="shared" si="80"/>
        <v>3833.7</v>
      </c>
      <c r="Z689">
        <v>2886.35</v>
      </c>
      <c r="AA689">
        <v>947.35</v>
      </c>
      <c r="AB689">
        <f t="shared" si="85"/>
        <v>947.34999999999991</v>
      </c>
      <c r="AC689" s="8">
        <f t="shared" si="86"/>
        <v>0.24711114589039307</v>
      </c>
      <c r="AD689" t="s">
        <v>32</v>
      </c>
      <c r="AE689" t="s">
        <v>33</v>
      </c>
      <c r="AF689" t="str">
        <f t="shared" si="87"/>
        <v>Perfect Match</v>
      </c>
    </row>
    <row r="690" spans="1:32">
      <c r="A690" t="str">
        <f>IF(OR(I690&lt;0, ISTEXT(W690), ISTEXT(Y690)), "Invalid", IF(OR(B690="Conflicting Duplicate", M690="Unknown", S690="Unknown"), "Warning", "Valid"))</f>
        <v>Valid</v>
      </c>
      <c r="B690" t="str">
        <f t="shared" si="81"/>
        <v>-</v>
      </c>
      <c r="C690" t="s">
        <v>1369</v>
      </c>
      <c r="D690" s="2">
        <v>45686</v>
      </c>
      <c r="E690" t="str">
        <f t="shared" si="82"/>
        <v>January</v>
      </c>
      <c r="F690">
        <f t="shared" si="83"/>
        <v>2025</v>
      </c>
      <c r="G690" s="2">
        <v>45693</v>
      </c>
      <c r="H690" t="s">
        <v>1370</v>
      </c>
      <c r="I690">
        <f t="shared" si="84"/>
        <v>7</v>
      </c>
      <c r="J690" t="s">
        <v>2795</v>
      </c>
      <c r="K690" t="s">
        <v>36</v>
      </c>
      <c r="L690" t="s">
        <v>24</v>
      </c>
      <c r="M690" t="s">
        <v>63</v>
      </c>
      <c r="N690" t="s">
        <v>180</v>
      </c>
      <c r="O690" t="s">
        <v>181</v>
      </c>
      <c r="P690" t="s">
        <v>28</v>
      </c>
      <c r="Q690" t="s">
        <v>48</v>
      </c>
      <c r="R690" t="s">
        <v>1371</v>
      </c>
      <c r="S690" t="s">
        <v>50</v>
      </c>
      <c r="T690">
        <v>6</v>
      </c>
      <c r="U690">
        <v>3863</v>
      </c>
      <c r="V690">
        <v>0.2</v>
      </c>
      <c r="W690">
        <v>0.2</v>
      </c>
      <c r="X690">
        <v>18542.400000000001</v>
      </c>
      <c r="Y690">
        <f t="shared" si="80"/>
        <v>18542.400000000001</v>
      </c>
      <c r="Z690">
        <v>11193.75</v>
      </c>
      <c r="AA690">
        <v>7348.65</v>
      </c>
      <c r="AB690">
        <f t="shared" si="85"/>
        <v>7348.6500000000015</v>
      </c>
      <c r="AC690" s="8">
        <f t="shared" si="86"/>
        <v>0.39631601087237905</v>
      </c>
      <c r="AD690" t="s">
        <v>32</v>
      </c>
      <c r="AE690" t="s">
        <v>33</v>
      </c>
      <c r="AF690" t="str">
        <f t="shared" si="87"/>
        <v>Perfect Match</v>
      </c>
    </row>
    <row r="691" spans="1:32">
      <c r="A691" t="str">
        <f>IF(OR(I691&lt;0, ISTEXT(W691), ISTEXT(Y691)), "Invalid", IF(OR(B691="Conflicting Duplicate", M691="Unknown", S691="Unknown"), "Warning", "Valid"))</f>
        <v>Valid</v>
      </c>
      <c r="B691" t="str">
        <f t="shared" si="81"/>
        <v>-</v>
      </c>
      <c r="C691" t="s">
        <v>1375</v>
      </c>
      <c r="D691" s="2">
        <v>45926</v>
      </c>
      <c r="E691" t="str">
        <f t="shared" si="82"/>
        <v>September</v>
      </c>
      <c r="F691">
        <f t="shared" si="83"/>
        <v>2025</v>
      </c>
      <c r="G691" s="2">
        <v>45930</v>
      </c>
      <c r="H691" t="s">
        <v>1376</v>
      </c>
      <c r="I691">
        <f t="shared" si="84"/>
        <v>4</v>
      </c>
      <c r="J691" t="s">
        <v>2795</v>
      </c>
      <c r="K691" t="s">
        <v>132</v>
      </c>
      <c r="L691" t="s">
        <v>95</v>
      </c>
      <c r="M691" t="s">
        <v>25</v>
      </c>
      <c r="N691" t="s">
        <v>236</v>
      </c>
      <c r="O691" t="s">
        <v>237</v>
      </c>
      <c r="P691" t="s">
        <v>74</v>
      </c>
      <c r="Q691" t="s">
        <v>171</v>
      </c>
      <c r="R691" t="s">
        <v>1377</v>
      </c>
      <c r="S691" t="s">
        <v>44</v>
      </c>
      <c r="T691">
        <v>2</v>
      </c>
      <c r="U691">
        <v>688.83</v>
      </c>
      <c r="V691">
        <v>0.05</v>
      </c>
      <c r="W691">
        <v>0.05</v>
      </c>
      <c r="X691">
        <v>1308.78</v>
      </c>
      <c r="Y691">
        <f t="shared" si="80"/>
        <v>1308.78</v>
      </c>
      <c r="Z691">
        <v>843</v>
      </c>
      <c r="AA691">
        <v>465.78</v>
      </c>
      <c r="AB691">
        <f t="shared" si="85"/>
        <v>465.78</v>
      </c>
      <c r="AC691" s="8">
        <f t="shared" si="86"/>
        <v>0.35588869023059644</v>
      </c>
      <c r="AD691" t="s">
        <v>32</v>
      </c>
      <c r="AE691" t="s">
        <v>33</v>
      </c>
      <c r="AF691" t="str">
        <f t="shared" si="87"/>
        <v>Perfect Match</v>
      </c>
    </row>
    <row r="692" spans="1:32">
      <c r="A692" t="str">
        <f>IF(OR(I692&lt;0, ISTEXT(W692), ISTEXT(Y692)), "Invalid", IF(OR(B692="Conflicting Duplicate", M692="Unknown", S692="Unknown"), "Warning", "Valid"))</f>
        <v>Valid</v>
      </c>
      <c r="B692" t="str">
        <f t="shared" si="81"/>
        <v>-</v>
      </c>
      <c r="C692" t="s">
        <v>1378</v>
      </c>
      <c r="D692" s="2">
        <v>45734</v>
      </c>
      <c r="E692" t="str">
        <f t="shared" si="82"/>
        <v>March</v>
      </c>
      <c r="F692">
        <f t="shared" si="83"/>
        <v>2025</v>
      </c>
      <c r="G692" s="2">
        <v>45735</v>
      </c>
      <c r="H692" t="s">
        <v>1379</v>
      </c>
      <c r="I692">
        <f t="shared" si="84"/>
        <v>1</v>
      </c>
      <c r="J692" t="s">
        <v>2795</v>
      </c>
      <c r="K692" t="s">
        <v>47</v>
      </c>
      <c r="L692" t="s">
        <v>90</v>
      </c>
      <c r="M692" t="s">
        <v>54</v>
      </c>
      <c r="N692" t="s">
        <v>247</v>
      </c>
      <c r="O692" t="s">
        <v>248</v>
      </c>
      <c r="P692" t="s">
        <v>74</v>
      </c>
      <c r="Q692" t="s">
        <v>274</v>
      </c>
      <c r="R692" t="s">
        <v>1380</v>
      </c>
      <c r="S692" t="s">
        <v>59</v>
      </c>
      <c r="T692">
        <v>2</v>
      </c>
      <c r="U692">
        <v>1209.99</v>
      </c>
      <c r="V692">
        <v>0.25</v>
      </c>
      <c r="W692">
        <v>0.25</v>
      </c>
      <c r="X692">
        <v>1814.99</v>
      </c>
      <c r="Y692">
        <f t="shared" si="80"/>
        <v>1814.99</v>
      </c>
      <c r="Z692">
        <v>1120.06</v>
      </c>
      <c r="AA692">
        <v>694.93</v>
      </c>
      <c r="AB692">
        <f t="shared" si="85"/>
        <v>694.93000000000006</v>
      </c>
      <c r="AC692" s="8">
        <f t="shared" si="86"/>
        <v>0.3828836522515276</v>
      </c>
      <c r="AD692" t="s">
        <v>111</v>
      </c>
      <c r="AE692" t="s">
        <v>68</v>
      </c>
      <c r="AF692" t="str">
        <f t="shared" si="87"/>
        <v>Perfect Match</v>
      </c>
    </row>
    <row r="693" spans="1:32">
      <c r="A693" t="str">
        <f>IF(OR(I693&lt;0, ISTEXT(W693), ISTEXT(Y693)), "Invalid", IF(OR(B693="Conflicting Duplicate", M693="Unknown", S693="Unknown"), "Warning", "Valid"))</f>
        <v>Valid</v>
      </c>
      <c r="B693" t="str">
        <f t="shared" si="81"/>
        <v>-</v>
      </c>
      <c r="C693" t="s">
        <v>1381</v>
      </c>
      <c r="D693" s="2">
        <v>45822</v>
      </c>
      <c r="E693" t="str">
        <f t="shared" si="82"/>
        <v>June</v>
      </c>
      <c r="F693">
        <f t="shared" si="83"/>
        <v>2025</v>
      </c>
      <c r="G693" s="2">
        <v>45827</v>
      </c>
      <c r="H693" t="s">
        <v>1382</v>
      </c>
      <c r="I693">
        <f t="shared" si="84"/>
        <v>5</v>
      </c>
      <c r="J693" t="s">
        <v>2795</v>
      </c>
      <c r="K693" t="s">
        <v>141</v>
      </c>
      <c r="L693" t="s">
        <v>37</v>
      </c>
      <c r="M693" t="s">
        <v>25</v>
      </c>
      <c r="N693" t="s">
        <v>350</v>
      </c>
      <c r="O693" t="s">
        <v>351</v>
      </c>
      <c r="P693" t="s">
        <v>28</v>
      </c>
      <c r="Q693" t="s">
        <v>153</v>
      </c>
      <c r="R693" t="s">
        <v>1383</v>
      </c>
      <c r="S693" t="s">
        <v>44</v>
      </c>
      <c r="T693">
        <v>3</v>
      </c>
      <c r="U693">
        <v>1037.45</v>
      </c>
      <c r="V693">
        <v>0.2</v>
      </c>
      <c r="W693">
        <v>0.2</v>
      </c>
      <c r="X693">
        <v>2489.88</v>
      </c>
      <c r="Y693">
        <f t="shared" si="80"/>
        <v>2489.88</v>
      </c>
      <c r="Z693">
        <v>1707.52</v>
      </c>
      <c r="AA693">
        <v>782.36</v>
      </c>
      <c r="AB693">
        <f t="shared" si="85"/>
        <v>782.36000000000013</v>
      </c>
      <c r="AC693" s="8">
        <f t="shared" si="86"/>
        <v>0.3142159461500153</v>
      </c>
      <c r="AD693" t="s">
        <v>111</v>
      </c>
      <c r="AE693" t="s">
        <v>103</v>
      </c>
      <c r="AF693" t="str">
        <f t="shared" si="87"/>
        <v>Perfect Match</v>
      </c>
    </row>
    <row r="694" spans="1:32">
      <c r="A694" t="str">
        <f>IF(OR(I694&lt;0, ISTEXT(W694), ISTEXT(Y694)), "Invalid", IF(OR(B694="Conflicting Duplicate", M694="Unknown", S694="Unknown"), "Warning", "Valid"))</f>
        <v>Valid</v>
      </c>
      <c r="B694" t="str">
        <f t="shared" si="81"/>
        <v>-</v>
      </c>
      <c r="C694" t="s">
        <v>1384</v>
      </c>
      <c r="D694" s="2">
        <v>45903</v>
      </c>
      <c r="E694" t="str">
        <f t="shared" si="82"/>
        <v>September</v>
      </c>
      <c r="F694">
        <f t="shared" si="83"/>
        <v>2025</v>
      </c>
      <c r="G694" s="2">
        <v>45906</v>
      </c>
      <c r="H694" t="s">
        <v>1385</v>
      </c>
      <c r="I694">
        <f t="shared" si="84"/>
        <v>3</v>
      </c>
      <c r="J694" t="s">
        <v>2795</v>
      </c>
      <c r="K694" t="s">
        <v>264</v>
      </c>
      <c r="L694" t="s">
        <v>24</v>
      </c>
      <c r="M694" t="s">
        <v>63</v>
      </c>
      <c r="N694" t="s">
        <v>72</v>
      </c>
      <c r="O694" t="s">
        <v>73</v>
      </c>
      <c r="P694" t="s">
        <v>74</v>
      </c>
      <c r="Q694" t="s">
        <v>80</v>
      </c>
      <c r="R694" t="s">
        <v>1386</v>
      </c>
      <c r="S694" t="s">
        <v>44</v>
      </c>
      <c r="T694">
        <v>7</v>
      </c>
      <c r="U694">
        <v>688.85</v>
      </c>
      <c r="V694">
        <v>0.15</v>
      </c>
      <c r="W694">
        <v>0.15</v>
      </c>
      <c r="X694">
        <v>4098.66</v>
      </c>
      <c r="Y694">
        <f t="shared" si="80"/>
        <v>4098.66</v>
      </c>
      <c r="Z694">
        <v>2678.06</v>
      </c>
      <c r="AA694">
        <v>1420.6</v>
      </c>
      <c r="AB694">
        <f t="shared" si="85"/>
        <v>1420.6</v>
      </c>
      <c r="AC694" s="8">
        <f t="shared" si="86"/>
        <v>0.34660108425680586</v>
      </c>
      <c r="AD694" t="s">
        <v>32</v>
      </c>
      <c r="AE694" t="s">
        <v>33</v>
      </c>
      <c r="AF694" t="str">
        <f t="shared" si="87"/>
        <v>Perfect Match</v>
      </c>
    </row>
    <row r="695" spans="1:32">
      <c r="A695" s="6" t="str">
        <f>IF(OR(I695&lt;0, ISTEXT(W695), ISTEXT(Y695)), "Invalid", IF(OR(B695="Conflicting Duplicate", M695="Unknown", S695="Unknown"), "Warning", "Valid"))</f>
        <v>Warning</v>
      </c>
      <c r="B695" t="str">
        <f t="shared" si="81"/>
        <v>-</v>
      </c>
      <c r="C695" t="s">
        <v>1399</v>
      </c>
      <c r="D695" s="2">
        <v>45769</v>
      </c>
      <c r="E695" t="str">
        <f t="shared" si="82"/>
        <v>April</v>
      </c>
      <c r="F695">
        <f t="shared" si="83"/>
        <v>2025</v>
      </c>
      <c r="G695" s="2">
        <v>45771</v>
      </c>
      <c r="H695" t="s">
        <v>1400</v>
      </c>
      <c r="I695">
        <f t="shared" si="84"/>
        <v>2</v>
      </c>
      <c r="J695" t="s">
        <v>2795</v>
      </c>
      <c r="K695" t="s">
        <v>47</v>
      </c>
      <c r="L695" t="s">
        <v>90</v>
      </c>
      <c r="M695" s="4" t="s">
        <v>2790</v>
      </c>
      <c r="N695" t="s">
        <v>228</v>
      </c>
      <c r="O695" t="s">
        <v>229</v>
      </c>
      <c r="P695" t="s">
        <v>74</v>
      </c>
      <c r="Q695" t="s">
        <v>75</v>
      </c>
      <c r="R695" t="s">
        <v>1401</v>
      </c>
      <c r="S695" t="s">
        <v>59</v>
      </c>
      <c r="T695">
        <v>9</v>
      </c>
      <c r="U695">
        <v>2939.44</v>
      </c>
      <c r="V695">
        <v>0</v>
      </c>
      <c r="W695">
        <v>0</v>
      </c>
      <c r="X695">
        <v>26454.959999999999</v>
      </c>
      <c r="Y695">
        <f t="shared" si="80"/>
        <v>26454.959999999999</v>
      </c>
      <c r="Z695">
        <v>17630.25</v>
      </c>
      <c r="AA695">
        <v>8824.7099999999991</v>
      </c>
      <c r="AB695">
        <f t="shared" si="85"/>
        <v>8824.7099999999991</v>
      </c>
      <c r="AC695" s="8">
        <f t="shared" si="86"/>
        <v>0.33357487594008833</v>
      </c>
      <c r="AD695" t="s">
        <v>32</v>
      </c>
      <c r="AE695" t="s">
        <v>33</v>
      </c>
      <c r="AF695" t="str">
        <f t="shared" si="87"/>
        <v>Perfect Match</v>
      </c>
    </row>
    <row r="696" spans="1:32">
      <c r="A696" t="str">
        <f>IF(OR(I696&lt;0, ISTEXT(W696), ISTEXT(Y696)), "Invalid", IF(OR(B696="Conflicting Duplicate", M696="Unknown", S696="Unknown"), "Warning", "Valid"))</f>
        <v>Valid</v>
      </c>
      <c r="B696" t="str">
        <f t="shared" si="81"/>
        <v>-</v>
      </c>
      <c r="C696" t="s">
        <v>1402</v>
      </c>
      <c r="D696" s="2">
        <v>45731</v>
      </c>
      <c r="E696" t="str">
        <f t="shared" si="82"/>
        <v>March</v>
      </c>
      <c r="F696">
        <f t="shared" si="83"/>
        <v>2025</v>
      </c>
      <c r="G696" s="2">
        <v>45738</v>
      </c>
      <c r="H696" t="s">
        <v>1403</v>
      </c>
      <c r="I696">
        <f t="shared" si="84"/>
        <v>7</v>
      </c>
      <c r="J696" t="s">
        <v>2795</v>
      </c>
      <c r="K696" t="s">
        <v>23</v>
      </c>
      <c r="L696" t="s">
        <v>37</v>
      </c>
      <c r="M696" t="s">
        <v>38</v>
      </c>
      <c r="N696" t="s">
        <v>99</v>
      </c>
      <c r="O696" t="s">
        <v>100</v>
      </c>
      <c r="P696" t="s">
        <v>74</v>
      </c>
      <c r="Q696" t="s">
        <v>171</v>
      </c>
      <c r="R696" t="s">
        <v>1404</v>
      </c>
      <c r="S696" t="s">
        <v>44</v>
      </c>
      <c r="T696">
        <v>2</v>
      </c>
      <c r="U696">
        <v>1235.93</v>
      </c>
      <c r="V696">
        <v>0.25</v>
      </c>
      <c r="W696">
        <v>0.25</v>
      </c>
      <c r="X696">
        <v>1853.89</v>
      </c>
      <c r="Y696">
        <f t="shared" si="80"/>
        <v>1853.9</v>
      </c>
      <c r="Z696">
        <v>1101.23</v>
      </c>
      <c r="AA696">
        <v>752.66</v>
      </c>
      <c r="AB696">
        <f t="shared" si="85"/>
        <v>752.67000000000007</v>
      </c>
      <c r="AC696" s="8">
        <f t="shared" si="86"/>
        <v>0.40599277199417444</v>
      </c>
      <c r="AD696" t="s">
        <v>111</v>
      </c>
      <c r="AE696" t="s">
        <v>68</v>
      </c>
      <c r="AF696" t="str">
        <f t="shared" si="87"/>
        <v>Mismatch Found</v>
      </c>
    </row>
    <row r="697" spans="1:32">
      <c r="A697" t="str">
        <f>IF(OR(I697&lt;0, ISTEXT(W697), ISTEXT(Y697)), "Invalid", IF(OR(B697="Conflicting Duplicate", M697="Unknown", S697="Unknown"), "Warning", "Valid"))</f>
        <v>Valid</v>
      </c>
      <c r="B697" t="str">
        <f t="shared" si="81"/>
        <v>-</v>
      </c>
      <c r="C697" t="s">
        <v>1405</v>
      </c>
      <c r="D697" s="2">
        <v>45717</v>
      </c>
      <c r="E697" t="str">
        <f t="shared" si="82"/>
        <v>March</v>
      </c>
      <c r="F697">
        <f t="shared" si="83"/>
        <v>2025</v>
      </c>
      <c r="G697" s="2">
        <v>45872</v>
      </c>
      <c r="H697" t="s">
        <v>1406</v>
      </c>
      <c r="I697">
        <f t="shared" si="84"/>
        <v>155</v>
      </c>
      <c r="J697" t="s">
        <v>2795</v>
      </c>
      <c r="K697" t="s">
        <v>79</v>
      </c>
      <c r="L697" t="s">
        <v>95</v>
      </c>
      <c r="M697" t="s">
        <v>25</v>
      </c>
      <c r="N697" t="s">
        <v>26</v>
      </c>
      <c r="O697" t="s">
        <v>27</v>
      </c>
      <c r="P697" t="s">
        <v>74</v>
      </c>
      <c r="Q697" t="s">
        <v>80</v>
      </c>
      <c r="R697" t="s">
        <v>1407</v>
      </c>
      <c r="S697" t="s">
        <v>44</v>
      </c>
      <c r="T697">
        <v>8</v>
      </c>
      <c r="U697">
        <v>2943.1</v>
      </c>
      <c r="V697">
        <v>0.25</v>
      </c>
      <c r="W697">
        <v>0.25</v>
      </c>
      <c r="X697">
        <v>17658.599999999999</v>
      </c>
      <c r="Y697">
        <f t="shared" si="80"/>
        <v>17658.599999999999</v>
      </c>
      <c r="Z697">
        <v>13842.48</v>
      </c>
      <c r="AA697">
        <v>3816.12</v>
      </c>
      <c r="AB697">
        <f t="shared" si="85"/>
        <v>3816.119999999999</v>
      </c>
      <c r="AC697" s="8">
        <f t="shared" si="86"/>
        <v>0.2161054670245659</v>
      </c>
      <c r="AD697" t="s">
        <v>32</v>
      </c>
      <c r="AE697" t="s">
        <v>33</v>
      </c>
      <c r="AF697" t="str">
        <f t="shared" si="87"/>
        <v>Perfect Match</v>
      </c>
    </row>
    <row r="698" spans="1:32">
      <c r="A698" t="str">
        <f>IF(OR(I698&lt;0, ISTEXT(W698), ISTEXT(Y698)), "Invalid", IF(OR(B698="Conflicting Duplicate", M698="Unknown", S698="Unknown"), "Warning", "Valid"))</f>
        <v>Valid</v>
      </c>
      <c r="B698" t="str">
        <f t="shared" si="81"/>
        <v>-</v>
      </c>
      <c r="C698" t="s">
        <v>1420</v>
      </c>
      <c r="D698" s="2">
        <v>45758</v>
      </c>
      <c r="E698" t="str">
        <f t="shared" si="82"/>
        <v>April</v>
      </c>
      <c r="F698">
        <f t="shared" si="83"/>
        <v>2025</v>
      </c>
      <c r="G698" s="2">
        <v>45762</v>
      </c>
      <c r="H698" t="s">
        <v>1421</v>
      </c>
      <c r="I698">
        <f t="shared" si="84"/>
        <v>4</v>
      </c>
      <c r="J698" t="s">
        <v>2795</v>
      </c>
      <c r="K698" t="s">
        <v>36</v>
      </c>
      <c r="L698" t="s">
        <v>95</v>
      </c>
      <c r="M698" t="s">
        <v>25</v>
      </c>
      <c r="N698" t="s">
        <v>136</v>
      </c>
      <c r="O698" t="s">
        <v>137</v>
      </c>
      <c r="P698" t="s">
        <v>74</v>
      </c>
      <c r="Q698" t="s">
        <v>75</v>
      </c>
      <c r="R698" t="s">
        <v>1422</v>
      </c>
      <c r="S698" t="s">
        <v>31</v>
      </c>
      <c r="T698">
        <v>5</v>
      </c>
      <c r="U698">
        <v>652.78</v>
      </c>
      <c r="V698">
        <v>0</v>
      </c>
      <c r="W698">
        <v>0</v>
      </c>
      <c r="X698">
        <v>3263.9</v>
      </c>
      <c r="Y698">
        <f t="shared" si="80"/>
        <v>3263.9</v>
      </c>
      <c r="Z698">
        <v>2068.44</v>
      </c>
      <c r="AA698">
        <v>1195.46</v>
      </c>
      <c r="AB698">
        <f t="shared" si="85"/>
        <v>1195.46</v>
      </c>
      <c r="AC698" s="8">
        <f t="shared" si="86"/>
        <v>0.36626734887711021</v>
      </c>
      <c r="AD698" t="s">
        <v>32</v>
      </c>
      <c r="AE698" t="s">
        <v>33</v>
      </c>
      <c r="AF698" t="str">
        <f t="shared" si="87"/>
        <v>Perfect Match</v>
      </c>
    </row>
    <row r="699" spans="1:32">
      <c r="A699" t="str">
        <f>IF(OR(I699&lt;0, ISTEXT(W699), ISTEXT(Y699)), "Invalid", IF(OR(B699="Conflicting Duplicate", M699="Unknown", S699="Unknown"), "Warning", "Valid"))</f>
        <v>Valid</v>
      </c>
      <c r="B699" t="str">
        <f t="shared" si="81"/>
        <v>-</v>
      </c>
      <c r="C699" t="s">
        <v>1423</v>
      </c>
      <c r="D699" s="2">
        <v>45759</v>
      </c>
      <c r="E699" t="str">
        <f t="shared" si="82"/>
        <v>April</v>
      </c>
      <c r="F699">
        <f t="shared" si="83"/>
        <v>2025</v>
      </c>
      <c r="G699" s="2">
        <v>45767</v>
      </c>
      <c r="H699" t="s">
        <v>1424</v>
      </c>
      <c r="I699">
        <f t="shared" si="84"/>
        <v>8</v>
      </c>
      <c r="J699" t="s">
        <v>2795</v>
      </c>
      <c r="K699" t="s">
        <v>264</v>
      </c>
      <c r="L699" t="s">
        <v>95</v>
      </c>
      <c r="M699" t="s">
        <v>25</v>
      </c>
      <c r="N699" t="s">
        <v>350</v>
      </c>
      <c r="O699" t="s">
        <v>351</v>
      </c>
      <c r="P699" t="s">
        <v>74</v>
      </c>
      <c r="Q699" t="s">
        <v>274</v>
      </c>
      <c r="R699" t="s">
        <v>1425</v>
      </c>
      <c r="S699" t="s">
        <v>59</v>
      </c>
      <c r="T699">
        <v>1</v>
      </c>
      <c r="U699">
        <v>2737.71</v>
      </c>
      <c r="V699">
        <v>0.15</v>
      </c>
      <c r="W699">
        <v>0.15</v>
      </c>
      <c r="X699">
        <v>2327.0500000000002</v>
      </c>
      <c r="Y699">
        <f t="shared" si="80"/>
        <v>2327.0500000000002</v>
      </c>
      <c r="Z699">
        <v>1919.42</v>
      </c>
      <c r="AA699">
        <v>407.63</v>
      </c>
      <c r="AB699">
        <f t="shared" si="85"/>
        <v>407.63000000000011</v>
      </c>
      <c r="AC699" s="8">
        <f t="shared" si="86"/>
        <v>0.17517027996820012</v>
      </c>
      <c r="AD699" t="s">
        <v>32</v>
      </c>
      <c r="AE699" t="s">
        <v>68</v>
      </c>
      <c r="AF699" t="str">
        <f t="shared" si="87"/>
        <v>Perfect Match</v>
      </c>
    </row>
    <row r="700" spans="1:32">
      <c r="A700" s="6" t="str">
        <f>IF(OR(I700&lt;0, ISTEXT(W700), ISTEXT(Y700)), "Invalid", IF(OR(B700="Conflicting Duplicate", M700="Unknown", S700="Unknown"), "Warning", "Valid"))</f>
        <v>Invalid</v>
      </c>
      <c r="B700" t="str">
        <f t="shared" si="81"/>
        <v>-</v>
      </c>
      <c r="C700" t="s">
        <v>1432</v>
      </c>
      <c r="D700" s="2">
        <v>45784</v>
      </c>
      <c r="E700" t="str">
        <f t="shared" si="82"/>
        <v>May</v>
      </c>
      <c r="F700">
        <f t="shared" si="83"/>
        <v>2025</v>
      </c>
      <c r="G700" s="2">
        <v>45782</v>
      </c>
      <c r="H700" t="s">
        <v>1433</v>
      </c>
      <c r="I700" s="7">
        <f t="shared" si="84"/>
        <v>-2</v>
      </c>
      <c r="J700" s="7" t="s">
        <v>2802</v>
      </c>
      <c r="K700" t="s">
        <v>79</v>
      </c>
      <c r="L700" t="s">
        <v>90</v>
      </c>
      <c r="M700" t="s">
        <v>38</v>
      </c>
      <c r="N700" t="s">
        <v>228</v>
      </c>
      <c r="O700" t="s">
        <v>229</v>
      </c>
      <c r="P700" t="s">
        <v>74</v>
      </c>
      <c r="Q700" t="s">
        <v>171</v>
      </c>
      <c r="R700" t="s">
        <v>1434</v>
      </c>
      <c r="S700" t="s">
        <v>59</v>
      </c>
      <c r="T700">
        <v>1</v>
      </c>
      <c r="U700">
        <v>2266.4699999999998</v>
      </c>
      <c r="V700">
        <v>0.2</v>
      </c>
      <c r="W700">
        <v>0.2</v>
      </c>
      <c r="X700">
        <v>1813.18</v>
      </c>
      <c r="Y700">
        <f t="shared" si="80"/>
        <v>1813.18</v>
      </c>
      <c r="Z700">
        <v>1363.64</v>
      </c>
      <c r="AA700">
        <v>449.54</v>
      </c>
      <c r="AB700">
        <f t="shared" si="85"/>
        <v>449.53999999999996</v>
      </c>
      <c r="AC700" s="8">
        <f t="shared" si="86"/>
        <v>0.24792905282431968</v>
      </c>
      <c r="AD700" t="s">
        <v>32</v>
      </c>
      <c r="AE700" t="s">
        <v>33</v>
      </c>
      <c r="AF700" t="str">
        <f t="shared" si="87"/>
        <v>Perfect Match</v>
      </c>
    </row>
    <row r="701" spans="1:32">
      <c r="A701" t="str">
        <f>IF(OR(I701&lt;0, ISTEXT(W701), ISTEXT(Y701)), "Invalid", IF(OR(B701="Conflicting Duplicate", M701="Unknown", S701="Unknown"), "Warning", "Valid"))</f>
        <v>Valid</v>
      </c>
      <c r="B701" t="str">
        <f t="shared" si="81"/>
        <v>-</v>
      </c>
      <c r="C701" t="s">
        <v>1435</v>
      </c>
      <c r="D701" s="2">
        <v>45838</v>
      </c>
      <c r="E701" t="str">
        <f t="shared" si="82"/>
        <v>June</v>
      </c>
      <c r="F701">
        <f t="shared" si="83"/>
        <v>2025</v>
      </c>
      <c r="G701" s="2">
        <v>45841</v>
      </c>
      <c r="H701" t="s">
        <v>1436</v>
      </c>
      <c r="I701">
        <f t="shared" si="84"/>
        <v>3</v>
      </c>
      <c r="J701" t="s">
        <v>2795</v>
      </c>
      <c r="K701" t="s">
        <v>128</v>
      </c>
      <c r="L701" t="s">
        <v>95</v>
      </c>
      <c r="M701" t="s">
        <v>63</v>
      </c>
      <c r="N701" t="s">
        <v>190</v>
      </c>
      <c r="O701" t="s">
        <v>191</v>
      </c>
      <c r="P701" t="s">
        <v>28</v>
      </c>
      <c r="Q701" t="s">
        <v>124</v>
      </c>
      <c r="R701" t="s">
        <v>1437</v>
      </c>
      <c r="S701" t="s">
        <v>44</v>
      </c>
      <c r="T701">
        <v>5</v>
      </c>
      <c r="U701">
        <v>665.25</v>
      </c>
      <c r="V701">
        <v>0</v>
      </c>
      <c r="W701">
        <v>0</v>
      </c>
      <c r="X701">
        <v>3326.25</v>
      </c>
      <c r="Y701">
        <f t="shared" si="80"/>
        <v>3326.25</v>
      </c>
      <c r="Z701">
        <v>2689.36</v>
      </c>
      <c r="AA701">
        <v>636.89</v>
      </c>
      <c r="AB701">
        <f t="shared" si="85"/>
        <v>636.88999999999987</v>
      </c>
      <c r="AC701" s="8">
        <f t="shared" si="86"/>
        <v>0.19147388199924836</v>
      </c>
      <c r="AD701" t="s">
        <v>102</v>
      </c>
      <c r="AE701" t="s">
        <v>103</v>
      </c>
      <c r="AF701" t="str">
        <f t="shared" si="87"/>
        <v>Perfect Match</v>
      </c>
    </row>
    <row r="702" spans="1:32">
      <c r="A702" t="str">
        <f>IF(OR(I702&lt;0, ISTEXT(W702), ISTEXT(Y702)), "Invalid", IF(OR(B702="Conflicting Duplicate", M702="Unknown", S702="Unknown"), "Warning", "Valid"))</f>
        <v>Valid</v>
      </c>
      <c r="B702" t="str">
        <f t="shared" si="81"/>
        <v>-</v>
      </c>
      <c r="C702" t="s">
        <v>1443</v>
      </c>
      <c r="D702" s="2">
        <v>45669</v>
      </c>
      <c r="E702" t="str">
        <f t="shared" si="82"/>
        <v>January</v>
      </c>
      <c r="F702">
        <f t="shared" si="83"/>
        <v>2025</v>
      </c>
      <c r="G702" s="2">
        <v>45676</v>
      </c>
      <c r="H702" t="s">
        <v>1444</v>
      </c>
      <c r="I702">
        <f t="shared" si="84"/>
        <v>7</v>
      </c>
      <c r="J702" t="s">
        <v>2795</v>
      </c>
      <c r="K702" t="s">
        <v>128</v>
      </c>
      <c r="L702" t="s">
        <v>24</v>
      </c>
      <c r="M702" t="s">
        <v>38</v>
      </c>
      <c r="N702" t="s">
        <v>228</v>
      </c>
      <c r="O702" t="s">
        <v>229</v>
      </c>
      <c r="P702" t="s">
        <v>41</v>
      </c>
      <c r="Q702" t="s">
        <v>42</v>
      </c>
      <c r="R702" t="s">
        <v>1445</v>
      </c>
      <c r="S702" t="s">
        <v>50</v>
      </c>
      <c r="T702">
        <v>1</v>
      </c>
      <c r="U702">
        <v>1842.31</v>
      </c>
      <c r="V702">
        <v>0</v>
      </c>
      <c r="W702">
        <v>0</v>
      </c>
      <c r="X702">
        <v>1842.31</v>
      </c>
      <c r="Y702">
        <f t="shared" si="80"/>
        <v>1842.31</v>
      </c>
      <c r="Z702">
        <v>1019.17</v>
      </c>
      <c r="AA702">
        <v>823.14</v>
      </c>
      <c r="AB702">
        <f t="shared" si="85"/>
        <v>823.14</v>
      </c>
      <c r="AC702" s="8">
        <f t="shared" si="86"/>
        <v>0.44679777019068451</v>
      </c>
      <c r="AD702" t="s">
        <v>32</v>
      </c>
      <c r="AE702" t="s">
        <v>33</v>
      </c>
      <c r="AF702" t="str">
        <f t="shared" si="87"/>
        <v>Perfect Match</v>
      </c>
    </row>
    <row r="703" spans="1:32">
      <c r="A703" t="str">
        <f>IF(OR(I703&lt;0, ISTEXT(W703), ISTEXT(Y703)), "Invalid", IF(OR(B703="Conflicting Duplicate", M703="Unknown", S703="Unknown"), "Warning", "Valid"))</f>
        <v>Valid</v>
      </c>
      <c r="B703" t="str">
        <f t="shared" si="81"/>
        <v>-</v>
      </c>
      <c r="C703" t="s">
        <v>1449</v>
      </c>
      <c r="D703" s="2">
        <v>45881</v>
      </c>
      <c r="E703" t="str">
        <f t="shared" si="82"/>
        <v>August</v>
      </c>
      <c r="F703">
        <f t="shared" si="83"/>
        <v>2025</v>
      </c>
      <c r="G703" s="2">
        <v>45885</v>
      </c>
      <c r="H703" t="s">
        <v>1450</v>
      </c>
      <c r="I703">
        <f t="shared" si="84"/>
        <v>4</v>
      </c>
      <c r="J703" t="s">
        <v>2795</v>
      </c>
      <c r="K703" t="s">
        <v>62</v>
      </c>
      <c r="L703" t="s">
        <v>24</v>
      </c>
      <c r="M703" t="s">
        <v>38</v>
      </c>
      <c r="N703" t="s">
        <v>166</v>
      </c>
      <c r="O703" t="s">
        <v>167</v>
      </c>
      <c r="P703" t="s">
        <v>74</v>
      </c>
      <c r="Q703" t="s">
        <v>75</v>
      </c>
      <c r="R703" t="s">
        <v>1451</v>
      </c>
      <c r="S703" t="s">
        <v>44</v>
      </c>
      <c r="T703">
        <v>9</v>
      </c>
      <c r="U703">
        <v>2379.2399999999998</v>
      </c>
      <c r="V703">
        <v>0.05</v>
      </c>
      <c r="W703">
        <v>0.05</v>
      </c>
      <c r="X703">
        <v>20342.5</v>
      </c>
      <c r="Y703">
        <f t="shared" si="80"/>
        <v>20342.5</v>
      </c>
      <c r="Z703">
        <v>12407.51</v>
      </c>
      <c r="AA703">
        <v>7934.99</v>
      </c>
      <c r="AB703">
        <f t="shared" si="85"/>
        <v>7934.99</v>
      </c>
      <c r="AC703" s="8">
        <f t="shared" si="86"/>
        <v>0.39006955880545657</v>
      </c>
      <c r="AD703" t="s">
        <v>32</v>
      </c>
      <c r="AE703" t="s">
        <v>33</v>
      </c>
      <c r="AF703" t="str">
        <f t="shared" si="87"/>
        <v>Perfect Match</v>
      </c>
    </row>
    <row r="704" spans="1:32">
      <c r="A704" t="str">
        <f>IF(OR(I704&lt;0, ISTEXT(W704), ISTEXT(Y704)), "Invalid", IF(OR(B704="Conflicting Duplicate", M704="Unknown", S704="Unknown"), "Warning", "Valid"))</f>
        <v>Valid</v>
      </c>
      <c r="B704" t="str">
        <f t="shared" si="81"/>
        <v>-</v>
      </c>
      <c r="C704" t="s">
        <v>1455</v>
      </c>
      <c r="D704" s="2">
        <v>45918</v>
      </c>
      <c r="E704" t="str">
        <f t="shared" si="82"/>
        <v>September</v>
      </c>
      <c r="F704">
        <f t="shared" si="83"/>
        <v>2025</v>
      </c>
      <c r="G704" s="2">
        <v>45919</v>
      </c>
      <c r="H704" t="s">
        <v>1456</v>
      </c>
      <c r="I704">
        <f t="shared" si="84"/>
        <v>1</v>
      </c>
      <c r="J704" t="s">
        <v>2795</v>
      </c>
      <c r="K704" t="s">
        <v>132</v>
      </c>
      <c r="L704" t="s">
        <v>95</v>
      </c>
      <c r="M704" t="s">
        <v>54</v>
      </c>
      <c r="N704" t="s">
        <v>84</v>
      </c>
      <c r="O704" t="s">
        <v>85</v>
      </c>
      <c r="P704" t="s">
        <v>28</v>
      </c>
      <c r="Q704" t="s">
        <v>124</v>
      </c>
      <c r="R704" t="s">
        <v>1457</v>
      </c>
      <c r="S704" t="s">
        <v>44</v>
      </c>
      <c r="T704">
        <v>8</v>
      </c>
      <c r="U704">
        <v>4242.51</v>
      </c>
      <c r="V704">
        <v>0</v>
      </c>
      <c r="W704">
        <v>0</v>
      </c>
      <c r="X704">
        <v>33940.080000000002</v>
      </c>
      <c r="Y704">
        <f t="shared" si="80"/>
        <v>33940.080000000002</v>
      </c>
      <c r="Z704">
        <v>23754.19</v>
      </c>
      <c r="AA704">
        <v>10185.89</v>
      </c>
      <c r="AB704">
        <f t="shared" si="85"/>
        <v>10185.890000000003</v>
      </c>
      <c r="AC704" s="8">
        <f t="shared" si="86"/>
        <v>0.30011390662603044</v>
      </c>
      <c r="AD704" t="s">
        <v>32</v>
      </c>
      <c r="AE704" t="s">
        <v>33</v>
      </c>
      <c r="AF704" t="str">
        <f t="shared" si="87"/>
        <v>Perfect Match</v>
      </c>
    </row>
    <row r="705" spans="1:32">
      <c r="A705" s="6" t="str">
        <f>IF(OR(I705&lt;0, ISTEXT(W705), ISTEXT(Y705)), "Invalid", IF(OR(B705="Conflicting Duplicate", M705="Unknown", S705="Unknown"), "Warning", "Valid"))</f>
        <v>Invalid</v>
      </c>
      <c r="B705" t="str">
        <f t="shared" si="81"/>
        <v>-</v>
      </c>
      <c r="C705" t="s">
        <v>1458</v>
      </c>
      <c r="D705" s="2">
        <v>45938</v>
      </c>
      <c r="E705" t="str">
        <f t="shared" si="82"/>
        <v>October</v>
      </c>
      <c r="F705">
        <f t="shared" si="83"/>
        <v>2025</v>
      </c>
      <c r="G705" s="2">
        <v>45879</v>
      </c>
      <c r="H705" t="s">
        <v>1459</v>
      </c>
      <c r="I705" s="7">
        <f t="shared" si="84"/>
        <v>-59</v>
      </c>
      <c r="J705" s="7" t="s">
        <v>2802</v>
      </c>
      <c r="K705" t="s">
        <v>141</v>
      </c>
      <c r="L705" t="s">
        <v>95</v>
      </c>
      <c r="M705" t="s">
        <v>54</v>
      </c>
      <c r="N705" t="s">
        <v>55</v>
      </c>
      <c r="O705" t="s">
        <v>56</v>
      </c>
      <c r="P705" t="s">
        <v>41</v>
      </c>
      <c r="Q705" t="s">
        <v>158</v>
      </c>
      <c r="R705" t="s">
        <v>1460</v>
      </c>
      <c r="S705" t="s">
        <v>59</v>
      </c>
      <c r="T705">
        <v>6</v>
      </c>
      <c r="U705">
        <v>4288.7</v>
      </c>
      <c r="V705">
        <v>0.15</v>
      </c>
      <c r="W705">
        <v>0.15</v>
      </c>
      <c r="X705">
        <v>21872.37</v>
      </c>
      <c r="Y705">
        <f t="shared" si="80"/>
        <v>21872.37</v>
      </c>
      <c r="Z705">
        <v>13829.5</v>
      </c>
      <c r="AA705">
        <v>8042.87</v>
      </c>
      <c r="AB705">
        <f t="shared" si="85"/>
        <v>8042.869999999999</v>
      </c>
      <c r="AC705" s="8">
        <f t="shared" si="86"/>
        <v>0.36771826738483299</v>
      </c>
      <c r="AD705" t="s">
        <v>111</v>
      </c>
      <c r="AE705" t="s">
        <v>103</v>
      </c>
      <c r="AF705" t="str">
        <f t="shared" si="87"/>
        <v>Perfect Match</v>
      </c>
    </row>
    <row r="706" spans="1:32">
      <c r="A706" t="str">
        <f>IF(OR(I706&lt;0, ISTEXT(W706), ISTEXT(Y706)), "Invalid", IF(OR(B706="Conflicting Duplicate", M706="Unknown", S706="Unknown"), "Warning", "Valid"))</f>
        <v>Valid</v>
      </c>
      <c r="B706" t="str">
        <f t="shared" si="81"/>
        <v>-</v>
      </c>
      <c r="C706" t="s">
        <v>1466</v>
      </c>
      <c r="D706" s="2">
        <v>45820</v>
      </c>
      <c r="E706" t="str">
        <f t="shared" si="82"/>
        <v>June</v>
      </c>
      <c r="F706">
        <f t="shared" si="83"/>
        <v>2025</v>
      </c>
      <c r="G706" s="2">
        <v>45827</v>
      </c>
      <c r="H706" t="s">
        <v>1467</v>
      </c>
      <c r="I706">
        <f t="shared" si="84"/>
        <v>7</v>
      </c>
      <c r="J706" t="s">
        <v>2795</v>
      </c>
      <c r="K706" t="s">
        <v>62</v>
      </c>
      <c r="L706" t="s">
        <v>90</v>
      </c>
      <c r="M706" t="s">
        <v>25</v>
      </c>
      <c r="N706" t="s">
        <v>350</v>
      </c>
      <c r="O706" t="s">
        <v>351</v>
      </c>
      <c r="P706" t="s">
        <v>41</v>
      </c>
      <c r="Q706" t="s">
        <v>66</v>
      </c>
      <c r="R706" t="s">
        <v>1468</v>
      </c>
      <c r="S706" t="s">
        <v>59</v>
      </c>
      <c r="T706">
        <v>9</v>
      </c>
      <c r="U706">
        <v>2278.5700000000002</v>
      </c>
      <c r="V706">
        <v>0.25</v>
      </c>
      <c r="W706">
        <v>0.25</v>
      </c>
      <c r="X706">
        <v>15380.35</v>
      </c>
      <c r="Y706">
        <f t="shared" ref="Y706:Y769" si="88">IF(ISTEXT(W706), "Cannot Calculate", ROUND(T706 * U706 * (1 - W706), 2))</f>
        <v>15380.35</v>
      </c>
      <c r="Z706">
        <v>9907.3700000000008</v>
      </c>
      <c r="AA706">
        <v>5472.98</v>
      </c>
      <c r="AB706">
        <f t="shared" si="85"/>
        <v>5472.98</v>
      </c>
      <c r="AC706" s="8">
        <f t="shared" si="86"/>
        <v>0.35584235729355962</v>
      </c>
      <c r="AD706" t="s">
        <v>32</v>
      </c>
      <c r="AE706" t="s">
        <v>33</v>
      </c>
      <c r="AF706" t="str">
        <f t="shared" si="87"/>
        <v>Perfect Match</v>
      </c>
    </row>
    <row r="707" spans="1:32">
      <c r="A707" t="str">
        <f>IF(OR(I707&lt;0, ISTEXT(W707), ISTEXT(Y707)), "Invalid", IF(OR(B707="Conflicting Duplicate", M707="Unknown", S707="Unknown"), "Warning", "Valid"))</f>
        <v>Valid</v>
      </c>
      <c r="B707" t="str">
        <f t="shared" ref="B707:B770" si="89">IF(COUNTIF(C:C, C707)&gt;1, "Conflicting Duplicate", "-")</f>
        <v>-</v>
      </c>
      <c r="C707" t="s">
        <v>1475</v>
      </c>
      <c r="D707" s="2">
        <v>45780</v>
      </c>
      <c r="E707" t="str">
        <f t="shared" ref="E707:E770" si="90">TEXT(D707, "mmmm")</f>
        <v>May</v>
      </c>
      <c r="F707">
        <f t="shared" ref="F707:F770" si="91">YEAR(D707)</f>
        <v>2025</v>
      </c>
      <c r="G707" s="2">
        <v>45788</v>
      </c>
      <c r="H707" t="s">
        <v>1476</v>
      </c>
      <c r="I707">
        <f t="shared" ref="I707:I770" si="92">G707-D707</f>
        <v>8</v>
      </c>
      <c r="J707" t="s">
        <v>2795</v>
      </c>
      <c r="K707" t="s">
        <v>141</v>
      </c>
      <c r="L707" t="s">
        <v>37</v>
      </c>
      <c r="M707" t="s">
        <v>63</v>
      </c>
      <c r="N707" t="s">
        <v>72</v>
      </c>
      <c r="O707" t="s">
        <v>73</v>
      </c>
      <c r="P707" t="s">
        <v>28</v>
      </c>
      <c r="Q707" t="s">
        <v>91</v>
      </c>
      <c r="R707" t="s">
        <v>1477</v>
      </c>
      <c r="S707" t="s">
        <v>44</v>
      </c>
      <c r="T707">
        <v>5</v>
      </c>
      <c r="U707">
        <v>1483.52</v>
      </c>
      <c r="V707">
        <v>0</v>
      </c>
      <c r="W707">
        <v>0</v>
      </c>
      <c r="X707">
        <v>7417.6</v>
      </c>
      <c r="Y707">
        <f t="shared" si="88"/>
        <v>7417.6</v>
      </c>
      <c r="Z707">
        <v>4955.8599999999997</v>
      </c>
      <c r="AA707">
        <v>2461.7399999999998</v>
      </c>
      <c r="AB707">
        <f t="shared" ref="AB707:AB770" si="93">IF(ISTEXT(Y707), "Cannot Calculate", Y707 - Z707)</f>
        <v>2461.7400000000007</v>
      </c>
      <c r="AC707" s="8">
        <f t="shared" ref="AC707:AC770" si="94">IFERROR(AB707 / Y707, 0)</f>
        <v>0.3318782355478862</v>
      </c>
      <c r="AD707" t="s">
        <v>32</v>
      </c>
      <c r="AE707" t="s">
        <v>33</v>
      </c>
      <c r="AF707" t="str">
        <f t="shared" ref="AF707:AF770" si="95">IF(OR(ISTEXT(Z707), ISTEXT(AB707)), "Calculation Blocked", IF(OR(ROUND(X707, 2) &lt;&gt; ROUND(Y707, 2), ROUND(AA707, 2) &lt;&gt; ROUND(AB707, 2)), "Mismatch Found", "Perfect Match"))</f>
        <v>Perfect Match</v>
      </c>
    </row>
    <row r="708" spans="1:32">
      <c r="A708" t="str">
        <f>IF(OR(I708&lt;0, ISTEXT(W708), ISTEXT(Y708)), "Invalid", IF(OR(B708="Conflicting Duplicate", M708="Unknown", S708="Unknown"), "Warning", "Valid"))</f>
        <v>Valid</v>
      </c>
      <c r="B708" t="str">
        <f t="shared" si="89"/>
        <v>-</v>
      </c>
      <c r="C708" t="s">
        <v>1478</v>
      </c>
      <c r="D708" s="2">
        <v>45739</v>
      </c>
      <c r="E708" t="str">
        <f t="shared" si="90"/>
        <v>March</v>
      </c>
      <c r="F708">
        <f t="shared" si="91"/>
        <v>2025</v>
      </c>
      <c r="G708" s="2">
        <v>45744</v>
      </c>
      <c r="H708" t="s">
        <v>1479</v>
      </c>
      <c r="I708">
        <f t="shared" si="92"/>
        <v>5</v>
      </c>
      <c r="J708" t="s">
        <v>2795</v>
      </c>
      <c r="K708" t="s">
        <v>71</v>
      </c>
      <c r="L708" t="s">
        <v>37</v>
      </c>
      <c r="M708" t="s">
        <v>25</v>
      </c>
      <c r="N708" t="s">
        <v>26</v>
      </c>
      <c r="O708" t="s">
        <v>27</v>
      </c>
      <c r="P708" t="s">
        <v>41</v>
      </c>
      <c r="Q708" t="s">
        <v>57</v>
      </c>
      <c r="R708" t="s">
        <v>1480</v>
      </c>
      <c r="S708" t="s">
        <v>59</v>
      </c>
      <c r="T708">
        <v>9</v>
      </c>
      <c r="U708">
        <v>3298</v>
      </c>
      <c r="V708">
        <v>0.15</v>
      </c>
      <c r="W708">
        <v>0.15</v>
      </c>
      <c r="X708">
        <v>25229.7</v>
      </c>
      <c r="Y708">
        <f t="shared" si="88"/>
        <v>25229.7</v>
      </c>
      <c r="Z708">
        <v>20170.43</v>
      </c>
      <c r="AA708">
        <v>5059.2700000000004</v>
      </c>
      <c r="AB708">
        <f t="shared" si="93"/>
        <v>5059.2700000000004</v>
      </c>
      <c r="AC708" s="8">
        <f t="shared" si="94"/>
        <v>0.20052834556098567</v>
      </c>
      <c r="AD708" t="s">
        <v>32</v>
      </c>
      <c r="AE708" t="s">
        <v>33</v>
      </c>
      <c r="AF708" t="str">
        <f t="shared" si="95"/>
        <v>Perfect Match</v>
      </c>
    </row>
    <row r="709" spans="1:32">
      <c r="A709" s="6" t="str">
        <f>IF(OR(I709&lt;0, ISTEXT(W709), ISTEXT(Y709)), "Invalid", IF(OR(B709="Conflicting Duplicate", M709="Unknown", S709="Unknown"), "Warning", "Valid"))</f>
        <v>Warning</v>
      </c>
      <c r="B709" t="str">
        <f t="shared" si="89"/>
        <v>-</v>
      </c>
      <c r="C709" t="s">
        <v>1496</v>
      </c>
      <c r="D709" s="2">
        <v>45930</v>
      </c>
      <c r="E709" t="str">
        <f t="shared" si="90"/>
        <v>September</v>
      </c>
      <c r="F709">
        <f t="shared" si="91"/>
        <v>2025</v>
      </c>
      <c r="G709" s="2">
        <v>45936</v>
      </c>
      <c r="H709" t="s">
        <v>1497</v>
      </c>
      <c r="I709">
        <f t="shared" si="92"/>
        <v>6</v>
      </c>
      <c r="J709" t="s">
        <v>2795</v>
      </c>
      <c r="K709" t="s">
        <v>128</v>
      </c>
      <c r="L709" t="s">
        <v>90</v>
      </c>
      <c r="M709" s="4" t="s">
        <v>2790</v>
      </c>
      <c r="N709" t="s">
        <v>26</v>
      </c>
      <c r="O709" t="s">
        <v>27</v>
      </c>
      <c r="P709" t="s">
        <v>74</v>
      </c>
      <c r="Q709" t="s">
        <v>80</v>
      </c>
      <c r="R709" t="s">
        <v>1498</v>
      </c>
      <c r="S709" t="s">
        <v>31</v>
      </c>
      <c r="T709">
        <v>9</v>
      </c>
      <c r="U709">
        <v>1359.88</v>
      </c>
      <c r="V709">
        <v>0.05</v>
      </c>
      <c r="W709">
        <v>0.05</v>
      </c>
      <c r="X709">
        <v>11626.97</v>
      </c>
      <c r="Y709">
        <f t="shared" si="88"/>
        <v>11626.97</v>
      </c>
      <c r="Z709">
        <v>7394.07</v>
      </c>
      <c r="AA709">
        <v>4232.8999999999996</v>
      </c>
      <c r="AB709">
        <f t="shared" si="93"/>
        <v>4232.8999999999996</v>
      </c>
      <c r="AC709" s="8">
        <f t="shared" si="94"/>
        <v>0.36405873585293502</v>
      </c>
      <c r="AD709" t="s">
        <v>32</v>
      </c>
      <c r="AE709" t="s">
        <v>33</v>
      </c>
      <c r="AF709" t="str">
        <f t="shared" si="95"/>
        <v>Perfect Match</v>
      </c>
    </row>
    <row r="710" spans="1:32">
      <c r="A710" t="str">
        <f>IF(OR(I710&lt;0, ISTEXT(W710), ISTEXT(Y710)), "Invalid", IF(OR(B710="Conflicting Duplicate", M710="Unknown", S710="Unknown"), "Warning", "Valid"))</f>
        <v>Valid</v>
      </c>
      <c r="B710" t="str">
        <f t="shared" si="89"/>
        <v>-</v>
      </c>
      <c r="C710" t="s">
        <v>1499</v>
      </c>
      <c r="D710" s="2">
        <v>45802</v>
      </c>
      <c r="E710" t="str">
        <f t="shared" si="90"/>
        <v>May</v>
      </c>
      <c r="F710">
        <f t="shared" si="91"/>
        <v>2025</v>
      </c>
      <c r="G710" s="2">
        <v>45803</v>
      </c>
      <c r="H710" t="s">
        <v>1500</v>
      </c>
      <c r="I710">
        <f t="shared" si="92"/>
        <v>1</v>
      </c>
      <c r="J710" t="s">
        <v>2795</v>
      </c>
      <c r="K710" t="s">
        <v>79</v>
      </c>
      <c r="L710" t="s">
        <v>90</v>
      </c>
      <c r="M710" t="s">
        <v>54</v>
      </c>
      <c r="N710" t="s">
        <v>84</v>
      </c>
      <c r="O710" t="s">
        <v>85</v>
      </c>
      <c r="P710" t="s">
        <v>28</v>
      </c>
      <c r="Q710" t="s">
        <v>29</v>
      </c>
      <c r="R710" t="s">
        <v>1501</v>
      </c>
      <c r="S710" t="s">
        <v>59</v>
      </c>
      <c r="T710">
        <v>3</v>
      </c>
      <c r="U710">
        <v>3378.15</v>
      </c>
      <c r="V710">
        <v>0.15</v>
      </c>
      <c r="W710">
        <v>0.15</v>
      </c>
      <c r="X710">
        <v>8614.2800000000007</v>
      </c>
      <c r="Y710">
        <f t="shared" si="88"/>
        <v>8614.2800000000007</v>
      </c>
      <c r="Z710">
        <v>7052.08</v>
      </c>
      <c r="AA710">
        <v>1562.2</v>
      </c>
      <c r="AB710">
        <f t="shared" si="93"/>
        <v>1562.2000000000007</v>
      </c>
      <c r="AC710" s="8">
        <f t="shared" si="94"/>
        <v>0.18135003737979269</v>
      </c>
      <c r="AD710" t="s">
        <v>32</v>
      </c>
      <c r="AE710" t="s">
        <v>33</v>
      </c>
      <c r="AF710" t="str">
        <f t="shared" si="95"/>
        <v>Perfect Match</v>
      </c>
    </row>
    <row r="711" spans="1:32">
      <c r="A711" s="6" t="str">
        <f>IF(OR(I711&lt;0, ISTEXT(W711), ISTEXT(Y711)), "Invalid", IF(OR(B711="Conflicting Duplicate", M711="Unknown", S711="Unknown"), "Warning", "Valid"))</f>
        <v>Invalid</v>
      </c>
      <c r="B711" t="str">
        <f t="shared" si="89"/>
        <v>-</v>
      </c>
      <c r="C711" t="s">
        <v>1505</v>
      </c>
      <c r="D711" s="2">
        <v>45840</v>
      </c>
      <c r="E711" t="str">
        <f t="shared" si="90"/>
        <v>July</v>
      </c>
      <c r="F711">
        <f t="shared" si="91"/>
        <v>2025</v>
      </c>
      <c r="G711" s="2">
        <v>45696</v>
      </c>
      <c r="H711" t="s">
        <v>1506</v>
      </c>
      <c r="I711" s="7">
        <f t="shared" si="92"/>
        <v>-144</v>
      </c>
      <c r="J711" s="7" t="s">
        <v>2802</v>
      </c>
      <c r="K711" t="s">
        <v>53</v>
      </c>
      <c r="L711" t="s">
        <v>90</v>
      </c>
      <c r="M711" t="s">
        <v>63</v>
      </c>
      <c r="N711" t="s">
        <v>72</v>
      </c>
      <c r="O711" t="s">
        <v>73</v>
      </c>
      <c r="P711" t="s">
        <v>74</v>
      </c>
      <c r="Q711" t="s">
        <v>171</v>
      </c>
      <c r="R711" t="s">
        <v>1507</v>
      </c>
      <c r="S711" t="s">
        <v>59</v>
      </c>
      <c r="T711">
        <v>4</v>
      </c>
      <c r="U711">
        <v>889.5</v>
      </c>
      <c r="V711">
        <v>0.2</v>
      </c>
      <c r="W711">
        <v>0.2</v>
      </c>
      <c r="X711">
        <v>2846.4</v>
      </c>
      <c r="Y711">
        <f t="shared" si="88"/>
        <v>2846.4</v>
      </c>
      <c r="Z711">
        <v>2132.37</v>
      </c>
      <c r="AA711">
        <v>714.03</v>
      </c>
      <c r="AB711">
        <f t="shared" si="93"/>
        <v>714.0300000000002</v>
      </c>
      <c r="AC711" s="8">
        <f t="shared" si="94"/>
        <v>0.25085370994940986</v>
      </c>
      <c r="AD711" t="s">
        <v>32</v>
      </c>
      <c r="AE711" t="s">
        <v>33</v>
      </c>
      <c r="AF711" t="str">
        <f t="shared" si="95"/>
        <v>Perfect Match</v>
      </c>
    </row>
    <row r="712" spans="1:32">
      <c r="A712" s="6" t="str">
        <f>IF(OR(I712&lt;0, ISTEXT(W712), ISTEXT(Y712)), "Invalid", IF(OR(B712="Conflicting Duplicate", M712="Unknown", S712="Unknown"), "Warning", "Valid"))</f>
        <v>Invalid</v>
      </c>
      <c r="B712" t="str">
        <f t="shared" si="89"/>
        <v>-</v>
      </c>
      <c r="C712" t="s">
        <v>1508</v>
      </c>
      <c r="D712" s="2">
        <v>45964</v>
      </c>
      <c r="E712" t="str">
        <f t="shared" si="90"/>
        <v>November</v>
      </c>
      <c r="F712">
        <f t="shared" si="91"/>
        <v>2025</v>
      </c>
      <c r="G712" s="2">
        <v>45731</v>
      </c>
      <c r="H712" t="s">
        <v>1509</v>
      </c>
      <c r="I712" s="7">
        <f t="shared" si="92"/>
        <v>-233</v>
      </c>
      <c r="J712" s="7" t="s">
        <v>2802</v>
      </c>
      <c r="K712" t="s">
        <v>53</v>
      </c>
      <c r="L712" t="s">
        <v>90</v>
      </c>
      <c r="M712" t="s">
        <v>38</v>
      </c>
      <c r="N712" t="s">
        <v>145</v>
      </c>
      <c r="O712" t="s">
        <v>146</v>
      </c>
      <c r="P712" t="s">
        <v>28</v>
      </c>
      <c r="Q712" t="s">
        <v>29</v>
      </c>
      <c r="R712" t="s">
        <v>1510</v>
      </c>
      <c r="S712" t="s">
        <v>44</v>
      </c>
      <c r="T712">
        <v>3</v>
      </c>
      <c r="U712">
        <v>3625.08</v>
      </c>
      <c r="V712">
        <v>0.05</v>
      </c>
      <c r="W712">
        <v>0.05</v>
      </c>
      <c r="X712">
        <v>10331.48</v>
      </c>
      <c r="Y712">
        <f t="shared" si="88"/>
        <v>10331.48</v>
      </c>
      <c r="Z712">
        <v>7131.91</v>
      </c>
      <c r="AA712">
        <v>3199.57</v>
      </c>
      <c r="AB712">
        <f t="shared" si="93"/>
        <v>3199.5699999999997</v>
      </c>
      <c r="AC712" s="8">
        <f t="shared" si="94"/>
        <v>0.30969135109393814</v>
      </c>
      <c r="AD712" t="s">
        <v>111</v>
      </c>
      <c r="AE712" t="s">
        <v>68</v>
      </c>
      <c r="AF712" t="str">
        <f t="shared" si="95"/>
        <v>Perfect Match</v>
      </c>
    </row>
    <row r="713" spans="1:32">
      <c r="A713" s="6" t="str">
        <f>IF(OR(I713&lt;0, ISTEXT(W713), ISTEXT(Y713)), "Invalid", IF(OR(B713="Conflicting Duplicate", M713="Unknown", S713="Unknown"), "Warning", "Valid"))</f>
        <v>Invalid</v>
      </c>
      <c r="B713" t="str">
        <f t="shared" si="89"/>
        <v>-</v>
      </c>
      <c r="C713" t="s">
        <v>1520</v>
      </c>
      <c r="D713" s="2">
        <v>45666</v>
      </c>
      <c r="E713" t="str">
        <f t="shared" si="90"/>
        <v>January</v>
      </c>
      <c r="F713">
        <f t="shared" si="91"/>
        <v>2025</v>
      </c>
      <c r="G713" s="2">
        <v>45664</v>
      </c>
      <c r="H713" t="s">
        <v>1521</v>
      </c>
      <c r="I713" s="7">
        <f t="shared" si="92"/>
        <v>-2</v>
      </c>
      <c r="J713" s="7" t="s">
        <v>2802</v>
      </c>
      <c r="K713" t="s">
        <v>128</v>
      </c>
      <c r="L713" t="s">
        <v>95</v>
      </c>
      <c r="M713" t="s">
        <v>38</v>
      </c>
      <c r="N713" t="s">
        <v>99</v>
      </c>
      <c r="O713" t="s">
        <v>100</v>
      </c>
      <c r="P713" t="s">
        <v>28</v>
      </c>
      <c r="Q713" t="s">
        <v>153</v>
      </c>
      <c r="R713" t="s">
        <v>1522</v>
      </c>
      <c r="S713" t="s">
        <v>31</v>
      </c>
      <c r="T713">
        <v>3</v>
      </c>
      <c r="U713">
        <v>2188.33</v>
      </c>
      <c r="V713">
        <v>0</v>
      </c>
      <c r="W713">
        <v>0</v>
      </c>
      <c r="X713">
        <v>6564.99</v>
      </c>
      <c r="Y713">
        <f t="shared" si="88"/>
        <v>6564.99</v>
      </c>
      <c r="Z713">
        <v>5407.24</v>
      </c>
      <c r="AA713">
        <v>1157.75</v>
      </c>
      <c r="AB713">
        <f t="shared" si="93"/>
        <v>1157.75</v>
      </c>
      <c r="AC713" s="8">
        <f t="shared" si="94"/>
        <v>0.17635213458055535</v>
      </c>
      <c r="AD713" t="s">
        <v>32</v>
      </c>
      <c r="AE713" t="s">
        <v>33</v>
      </c>
      <c r="AF713" t="str">
        <f t="shared" si="95"/>
        <v>Perfect Match</v>
      </c>
    </row>
    <row r="714" spans="1:32">
      <c r="A714" t="str">
        <f>IF(OR(I714&lt;0, ISTEXT(W714), ISTEXT(Y714)), "Invalid", IF(OR(B714="Conflicting Duplicate", M714="Unknown", S714="Unknown"), "Warning", "Valid"))</f>
        <v>Valid</v>
      </c>
      <c r="B714" t="str">
        <f t="shared" si="89"/>
        <v>-</v>
      </c>
      <c r="C714" t="s">
        <v>1541</v>
      </c>
      <c r="D714" s="2">
        <v>45717</v>
      </c>
      <c r="E714" t="str">
        <f t="shared" si="90"/>
        <v>March</v>
      </c>
      <c r="F714">
        <f t="shared" si="91"/>
        <v>2025</v>
      </c>
      <c r="G714" s="2">
        <v>45724</v>
      </c>
      <c r="H714" t="s">
        <v>1542</v>
      </c>
      <c r="I714">
        <f t="shared" si="92"/>
        <v>7</v>
      </c>
      <c r="J714" t="s">
        <v>2795</v>
      </c>
      <c r="K714" t="s">
        <v>71</v>
      </c>
      <c r="L714" t="s">
        <v>24</v>
      </c>
      <c r="M714" t="s">
        <v>38</v>
      </c>
      <c r="N714" t="s">
        <v>99</v>
      </c>
      <c r="O714" t="s">
        <v>100</v>
      </c>
      <c r="P714" t="s">
        <v>41</v>
      </c>
      <c r="Q714" t="s">
        <v>66</v>
      </c>
      <c r="R714" t="s">
        <v>1543</v>
      </c>
      <c r="S714" t="s">
        <v>44</v>
      </c>
      <c r="T714">
        <v>8</v>
      </c>
      <c r="U714">
        <v>3378.82</v>
      </c>
      <c r="V714">
        <v>0.25</v>
      </c>
      <c r="W714">
        <v>0.25</v>
      </c>
      <c r="X714">
        <v>20272.919999999998</v>
      </c>
      <c r="Y714">
        <f t="shared" si="88"/>
        <v>20272.919999999998</v>
      </c>
      <c r="Z714">
        <v>15873.38</v>
      </c>
      <c r="AA714">
        <v>4399.54</v>
      </c>
      <c r="AB714">
        <f t="shared" si="93"/>
        <v>4399.5399999999991</v>
      </c>
      <c r="AC714" s="8">
        <f t="shared" si="94"/>
        <v>0.21701560505344072</v>
      </c>
      <c r="AD714" t="s">
        <v>111</v>
      </c>
      <c r="AE714" t="s">
        <v>103</v>
      </c>
      <c r="AF714" t="str">
        <f t="shared" si="95"/>
        <v>Perfect Match</v>
      </c>
    </row>
    <row r="715" spans="1:32">
      <c r="A715" t="str">
        <f>IF(OR(I715&lt;0, ISTEXT(W715), ISTEXT(Y715)), "Invalid", IF(OR(B715="Conflicting Duplicate", M715="Unknown", S715="Unknown"), "Warning", "Valid"))</f>
        <v>Valid</v>
      </c>
      <c r="B715" t="str">
        <f t="shared" si="89"/>
        <v>-</v>
      </c>
      <c r="C715" t="s">
        <v>1547</v>
      </c>
      <c r="D715" s="2">
        <v>45892</v>
      </c>
      <c r="E715" t="str">
        <f t="shared" si="90"/>
        <v>August</v>
      </c>
      <c r="F715">
        <f t="shared" si="91"/>
        <v>2025</v>
      </c>
      <c r="G715" s="2">
        <v>45897</v>
      </c>
      <c r="H715" t="s">
        <v>1548</v>
      </c>
      <c r="I715">
        <f t="shared" si="92"/>
        <v>5</v>
      </c>
      <c r="J715" t="s">
        <v>2795</v>
      </c>
      <c r="K715" t="s">
        <v>71</v>
      </c>
      <c r="L715" t="s">
        <v>90</v>
      </c>
      <c r="M715" t="s">
        <v>63</v>
      </c>
      <c r="N715" t="s">
        <v>180</v>
      </c>
      <c r="O715" t="s">
        <v>181</v>
      </c>
      <c r="P715" t="s">
        <v>41</v>
      </c>
      <c r="Q715" t="s">
        <v>66</v>
      </c>
      <c r="R715" t="s">
        <v>1549</v>
      </c>
      <c r="S715" t="s">
        <v>59</v>
      </c>
      <c r="T715">
        <v>6</v>
      </c>
      <c r="U715">
        <v>2193.23</v>
      </c>
      <c r="V715">
        <v>0.1</v>
      </c>
      <c r="W715">
        <v>0.1</v>
      </c>
      <c r="X715">
        <v>11843.44</v>
      </c>
      <c r="Y715">
        <f t="shared" si="88"/>
        <v>11843.44</v>
      </c>
      <c r="Z715">
        <v>9356.8799999999992</v>
      </c>
      <c r="AA715">
        <v>2486.56</v>
      </c>
      <c r="AB715">
        <f t="shared" si="93"/>
        <v>2486.5600000000013</v>
      </c>
      <c r="AC715" s="8">
        <f t="shared" si="94"/>
        <v>0.20995251379666729</v>
      </c>
      <c r="AD715" t="s">
        <v>32</v>
      </c>
      <c r="AE715" t="s">
        <v>68</v>
      </c>
      <c r="AF715" t="str">
        <f t="shared" si="95"/>
        <v>Perfect Match</v>
      </c>
    </row>
    <row r="716" spans="1:32">
      <c r="A716" s="6" t="str">
        <f>IF(OR(I716&lt;0, ISTEXT(W716), ISTEXT(Y716)), "Invalid", IF(OR(B716="Conflicting Duplicate", M716="Unknown", S716="Unknown"), "Warning", "Valid"))</f>
        <v>Warning</v>
      </c>
      <c r="B716" t="str">
        <f t="shared" si="89"/>
        <v>-</v>
      </c>
      <c r="C716" t="s">
        <v>1556</v>
      </c>
      <c r="D716" s="2">
        <v>45662</v>
      </c>
      <c r="E716" t="str">
        <f t="shared" si="90"/>
        <v>January</v>
      </c>
      <c r="F716">
        <f t="shared" si="91"/>
        <v>2025</v>
      </c>
      <c r="G716" s="2">
        <v>45666</v>
      </c>
      <c r="H716" t="s">
        <v>1557</v>
      </c>
      <c r="I716">
        <f t="shared" si="92"/>
        <v>4</v>
      </c>
      <c r="J716" t="s">
        <v>2795</v>
      </c>
      <c r="K716" t="s">
        <v>79</v>
      </c>
      <c r="L716" t="s">
        <v>37</v>
      </c>
      <c r="M716" t="s">
        <v>54</v>
      </c>
      <c r="N716" t="s">
        <v>247</v>
      </c>
      <c r="O716" t="s">
        <v>248</v>
      </c>
      <c r="P716" t="s">
        <v>28</v>
      </c>
      <c r="Q716" t="s">
        <v>124</v>
      </c>
      <c r="R716" t="s">
        <v>1558</v>
      </c>
      <c r="S716" s="4" t="s">
        <v>2790</v>
      </c>
      <c r="T716">
        <v>5</v>
      </c>
      <c r="U716">
        <v>905.16</v>
      </c>
      <c r="V716">
        <v>0</v>
      </c>
      <c r="W716">
        <v>0</v>
      </c>
      <c r="X716">
        <v>4525.8</v>
      </c>
      <c r="Y716">
        <f t="shared" si="88"/>
        <v>4525.8</v>
      </c>
      <c r="Z716">
        <v>2714.51</v>
      </c>
      <c r="AA716">
        <v>1811.29</v>
      </c>
      <c r="AB716">
        <f t="shared" si="93"/>
        <v>1811.29</v>
      </c>
      <c r="AC716" s="8">
        <f t="shared" si="94"/>
        <v>0.40021432674886204</v>
      </c>
      <c r="AD716" t="s">
        <v>32</v>
      </c>
      <c r="AE716" t="s">
        <v>33</v>
      </c>
      <c r="AF716" t="str">
        <f t="shared" si="95"/>
        <v>Perfect Match</v>
      </c>
    </row>
    <row r="717" spans="1:32">
      <c r="A717" s="6" t="str">
        <f>IF(OR(I717&lt;0, ISTEXT(W717), ISTEXT(Y717)), "Invalid", IF(OR(B717="Conflicting Duplicate", M717="Unknown", S717="Unknown"), "Warning", "Valid"))</f>
        <v>Invalid</v>
      </c>
      <c r="B717" t="str">
        <f t="shared" si="89"/>
        <v>-</v>
      </c>
      <c r="C717" t="s">
        <v>1559</v>
      </c>
      <c r="D717" s="2">
        <v>45813</v>
      </c>
      <c r="E717" t="str">
        <f t="shared" si="90"/>
        <v>June</v>
      </c>
      <c r="F717">
        <f t="shared" si="91"/>
        <v>2025</v>
      </c>
      <c r="G717" s="2">
        <v>45821</v>
      </c>
      <c r="H717" t="s">
        <v>1560</v>
      </c>
      <c r="I717">
        <f t="shared" si="92"/>
        <v>8</v>
      </c>
      <c r="J717" t="s">
        <v>2795</v>
      </c>
      <c r="K717" t="s">
        <v>47</v>
      </c>
      <c r="L717" t="s">
        <v>24</v>
      </c>
      <c r="M717" t="s">
        <v>25</v>
      </c>
      <c r="N717" t="s">
        <v>136</v>
      </c>
      <c r="O717" t="s">
        <v>137</v>
      </c>
      <c r="P717" t="s">
        <v>74</v>
      </c>
      <c r="Q717" t="s">
        <v>274</v>
      </c>
      <c r="R717" t="s">
        <v>1561</v>
      </c>
      <c r="S717" t="s">
        <v>44</v>
      </c>
      <c r="T717">
        <v>4</v>
      </c>
      <c r="U717">
        <v>2793.88</v>
      </c>
      <c r="V717" s="5">
        <v>0.85</v>
      </c>
      <c r="W717" s="4" t="s">
        <v>2794</v>
      </c>
      <c r="X717">
        <v>10616.74</v>
      </c>
      <c r="Y717" s="4" t="str">
        <f t="shared" si="88"/>
        <v>Cannot Calculate</v>
      </c>
      <c r="Z717">
        <v>6353.59</v>
      </c>
      <c r="AA717">
        <v>4263.1499999999996</v>
      </c>
      <c r="AB717" s="4" t="str">
        <f t="shared" si="93"/>
        <v>Cannot Calculate</v>
      </c>
      <c r="AC717" s="9">
        <f t="shared" si="94"/>
        <v>0</v>
      </c>
      <c r="AD717" t="s">
        <v>32</v>
      </c>
      <c r="AE717" t="s">
        <v>33</v>
      </c>
      <c r="AF717" t="str">
        <f t="shared" si="95"/>
        <v>Calculation Blocked</v>
      </c>
    </row>
    <row r="718" spans="1:32">
      <c r="A718" t="str">
        <f>IF(OR(I718&lt;0, ISTEXT(W718), ISTEXT(Y718)), "Invalid", IF(OR(B718="Conflicting Duplicate", M718="Unknown", S718="Unknown"), "Warning", "Valid"))</f>
        <v>Valid</v>
      </c>
      <c r="B718" t="str">
        <f t="shared" si="89"/>
        <v>-</v>
      </c>
      <c r="C718" t="s">
        <v>1571</v>
      </c>
      <c r="D718" s="2">
        <v>45679</v>
      </c>
      <c r="E718" t="str">
        <f t="shared" si="90"/>
        <v>January</v>
      </c>
      <c r="F718">
        <f t="shared" si="91"/>
        <v>2025</v>
      </c>
      <c r="G718" s="2">
        <v>45680</v>
      </c>
      <c r="H718" t="s">
        <v>1572</v>
      </c>
      <c r="I718">
        <f t="shared" si="92"/>
        <v>1</v>
      </c>
      <c r="J718" t="s">
        <v>2795</v>
      </c>
      <c r="K718" t="s">
        <v>118</v>
      </c>
      <c r="L718" t="s">
        <v>90</v>
      </c>
      <c r="M718" t="s">
        <v>63</v>
      </c>
      <c r="N718" t="s">
        <v>190</v>
      </c>
      <c r="O718" t="s">
        <v>191</v>
      </c>
      <c r="P718" t="s">
        <v>41</v>
      </c>
      <c r="Q718" t="s">
        <v>158</v>
      </c>
      <c r="R718" t="s">
        <v>1573</v>
      </c>
      <c r="S718" t="s">
        <v>59</v>
      </c>
      <c r="T718">
        <v>4</v>
      </c>
      <c r="U718">
        <v>2555.19</v>
      </c>
      <c r="V718">
        <v>0.25</v>
      </c>
      <c r="W718">
        <v>0.25</v>
      </c>
      <c r="X718">
        <v>7665.57</v>
      </c>
      <c r="Y718">
        <f t="shared" si="88"/>
        <v>7665.57</v>
      </c>
      <c r="Z718">
        <v>5595.6</v>
      </c>
      <c r="AA718">
        <v>2069.9699999999998</v>
      </c>
      <c r="AB718">
        <f t="shared" si="93"/>
        <v>2069.9699999999993</v>
      </c>
      <c r="AC718" s="8">
        <f t="shared" si="94"/>
        <v>0.27003471366121495</v>
      </c>
      <c r="AD718" t="s">
        <v>32</v>
      </c>
      <c r="AE718" t="s">
        <v>33</v>
      </c>
      <c r="AF718" t="str">
        <f t="shared" si="95"/>
        <v>Perfect Match</v>
      </c>
    </row>
    <row r="719" spans="1:32">
      <c r="A719" t="str">
        <f>IF(OR(I719&lt;0, ISTEXT(W719), ISTEXT(Y719)), "Invalid", IF(OR(B719="Conflicting Duplicate", M719="Unknown", S719="Unknown"), "Warning", "Valid"))</f>
        <v>Valid</v>
      </c>
      <c r="B719" t="str">
        <f t="shared" si="89"/>
        <v>-</v>
      </c>
      <c r="C719" t="s">
        <v>1574</v>
      </c>
      <c r="D719" s="2">
        <v>45830</v>
      </c>
      <c r="E719" t="str">
        <f t="shared" si="90"/>
        <v>June</v>
      </c>
      <c r="F719">
        <f t="shared" si="91"/>
        <v>2025</v>
      </c>
      <c r="G719" s="2">
        <v>45834</v>
      </c>
      <c r="H719" t="s">
        <v>1575</v>
      </c>
      <c r="I719">
        <f t="shared" si="92"/>
        <v>4</v>
      </c>
      <c r="J719" t="s">
        <v>2795</v>
      </c>
      <c r="K719" t="s">
        <v>118</v>
      </c>
      <c r="L719" t="s">
        <v>90</v>
      </c>
      <c r="M719" t="s">
        <v>63</v>
      </c>
      <c r="N719" t="s">
        <v>190</v>
      </c>
      <c r="O719" t="s">
        <v>191</v>
      </c>
      <c r="P719" t="s">
        <v>41</v>
      </c>
      <c r="Q719" t="s">
        <v>42</v>
      </c>
      <c r="R719" t="s">
        <v>1576</v>
      </c>
      <c r="S719" t="s">
        <v>59</v>
      </c>
      <c r="T719">
        <v>3</v>
      </c>
      <c r="U719">
        <v>1946.18</v>
      </c>
      <c r="V719">
        <v>0.2</v>
      </c>
      <c r="W719">
        <v>0.2</v>
      </c>
      <c r="X719">
        <v>4670.83</v>
      </c>
      <c r="Y719">
        <f t="shared" si="88"/>
        <v>4670.83</v>
      </c>
      <c r="Z719">
        <v>3166.49</v>
      </c>
      <c r="AA719">
        <v>1504.34</v>
      </c>
      <c r="AB719">
        <f t="shared" si="93"/>
        <v>1504.3400000000001</v>
      </c>
      <c r="AC719" s="8">
        <f t="shared" si="94"/>
        <v>0.32207123787421083</v>
      </c>
      <c r="AD719" t="s">
        <v>32</v>
      </c>
      <c r="AE719" t="s">
        <v>33</v>
      </c>
      <c r="AF719" t="str">
        <f t="shared" si="95"/>
        <v>Perfect Match</v>
      </c>
    </row>
    <row r="720" spans="1:32">
      <c r="A720" t="str">
        <f>IF(OR(I720&lt;0, ISTEXT(W720), ISTEXT(Y720)), "Invalid", IF(OR(B720="Conflicting Duplicate", M720="Unknown", S720="Unknown"), "Warning", "Valid"))</f>
        <v>Valid</v>
      </c>
      <c r="B720" t="str">
        <f t="shared" si="89"/>
        <v>-</v>
      </c>
      <c r="C720" t="s">
        <v>1577</v>
      </c>
      <c r="D720" s="2">
        <v>45818</v>
      </c>
      <c r="E720" t="str">
        <f t="shared" si="90"/>
        <v>June</v>
      </c>
      <c r="F720">
        <f t="shared" si="91"/>
        <v>2025</v>
      </c>
      <c r="G720" s="2">
        <v>45825</v>
      </c>
      <c r="H720" t="s">
        <v>1578</v>
      </c>
      <c r="I720">
        <f t="shared" si="92"/>
        <v>7</v>
      </c>
      <c r="J720" t="s">
        <v>2795</v>
      </c>
      <c r="K720" t="s">
        <v>118</v>
      </c>
      <c r="L720" t="s">
        <v>90</v>
      </c>
      <c r="M720" t="s">
        <v>54</v>
      </c>
      <c r="N720" t="s">
        <v>55</v>
      </c>
      <c r="O720" t="s">
        <v>56</v>
      </c>
      <c r="P720" t="s">
        <v>41</v>
      </c>
      <c r="Q720" t="s">
        <v>57</v>
      </c>
      <c r="R720" t="s">
        <v>1579</v>
      </c>
      <c r="S720" t="s">
        <v>59</v>
      </c>
      <c r="T720">
        <v>5</v>
      </c>
      <c r="U720">
        <v>1231.0999999999999</v>
      </c>
      <c r="V720">
        <v>0</v>
      </c>
      <c r="W720">
        <v>0</v>
      </c>
      <c r="X720">
        <v>6155.5</v>
      </c>
      <c r="Y720">
        <f t="shared" si="88"/>
        <v>6155.5</v>
      </c>
      <c r="Z720">
        <v>4282.09</v>
      </c>
      <c r="AA720">
        <v>1873.41</v>
      </c>
      <c r="AB720">
        <f t="shared" si="93"/>
        <v>1873.4099999999999</v>
      </c>
      <c r="AC720" s="8">
        <f t="shared" si="94"/>
        <v>0.3043473316546178</v>
      </c>
      <c r="AD720" t="s">
        <v>102</v>
      </c>
      <c r="AE720" t="s">
        <v>103</v>
      </c>
      <c r="AF720" t="str">
        <f t="shared" si="95"/>
        <v>Perfect Match</v>
      </c>
    </row>
    <row r="721" spans="1:32">
      <c r="A721" t="str">
        <f>IF(OR(I721&lt;0, ISTEXT(W721), ISTEXT(Y721)), "Invalid", IF(OR(B721="Conflicting Duplicate", M721="Unknown", S721="Unknown"), "Warning", "Valid"))</f>
        <v>Valid</v>
      </c>
      <c r="B721" t="str">
        <f t="shared" si="89"/>
        <v>-</v>
      </c>
      <c r="C721" t="s">
        <v>1589</v>
      </c>
      <c r="D721" s="2">
        <v>45776</v>
      </c>
      <c r="E721" t="str">
        <f t="shared" si="90"/>
        <v>April</v>
      </c>
      <c r="F721">
        <f t="shared" si="91"/>
        <v>2025</v>
      </c>
      <c r="G721" s="2">
        <v>45777</v>
      </c>
      <c r="H721" t="s">
        <v>1590</v>
      </c>
      <c r="I721">
        <f t="shared" si="92"/>
        <v>1</v>
      </c>
      <c r="J721" t="s">
        <v>2795</v>
      </c>
      <c r="K721" t="s">
        <v>36</v>
      </c>
      <c r="L721" t="s">
        <v>90</v>
      </c>
      <c r="M721" t="s">
        <v>54</v>
      </c>
      <c r="N721" t="s">
        <v>185</v>
      </c>
      <c r="O721" t="s">
        <v>186</v>
      </c>
      <c r="P721" t="s">
        <v>74</v>
      </c>
      <c r="Q721" t="s">
        <v>75</v>
      </c>
      <c r="R721" t="s">
        <v>1591</v>
      </c>
      <c r="S721" t="s">
        <v>59</v>
      </c>
      <c r="T721">
        <v>4</v>
      </c>
      <c r="U721">
        <v>606.58000000000004</v>
      </c>
      <c r="V721">
        <v>0.2</v>
      </c>
      <c r="W721">
        <v>0.2</v>
      </c>
      <c r="X721">
        <v>1941.06</v>
      </c>
      <c r="Y721">
        <f t="shared" si="88"/>
        <v>1941.06</v>
      </c>
      <c r="Z721">
        <v>1207.42</v>
      </c>
      <c r="AA721">
        <v>733.64</v>
      </c>
      <c r="AB721">
        <f t="shared" si="93"/>
        <v>733.63999999999987</v>
      </c>
      <c r="AC721" s="8">
        <f t="shared" si="94"/>
        <v>0.37795843508186244</v>
      </c>
      <c r="AD721" t="s">
        <v>32</v>
      </c>
      <c r="AE721" t="s">
        <v>33</v>
      </c>
      <c r="AF721" t="str">
        <f t="shared" si="95"/>
        <v>Perfect Match</v>
      </c>
    </row>
    <row r="722" spans="1:32">
      <c r="A722" t="str">
        <f>IF(OR(I722&lt;0, ISTEXT(W722), ISTEXT(Y722)), "Invalid", IF(OR(B722="Conflicting Duplicate", M722="Unknown", S722="Unknown"), "Warning", "Valid"))</f>
        <v>Valid</v>
      </c>
      <c r="B722" t="str">
        <f t="shared" si="89"/>
        <v>-</v>
      </c>
      <c r="C722" t="s">
        <v>1592</v>
      </c>
      <c r="D722" s="2">
        <v>45836</v>
      </c>
      <c r="E722" t="str">
        <f t="shared" si="90"/>
        <v>June</v>
      </c>
      <c r="F722">
        <f t="shared" si="91"/>
        <v>2025</v>
      </c>
      <c r="G722" s="2">
        <v>45840</v>
      </c>
      <c r="H722" t="s">
        <v>1593</v>
      </c>
      <c r="I722">
        <f t="shared" si="92"/>
        <v>4</v>
      </c>
      <c r="J722" t="s">
        <v>2795</v>
      </c>
      <c r="K722" t="s">
        <v>62</v>
      </c>
      <c r="L722" t="s">
        <v>90</v>
      </c>
      <c r="M722" t="s">
        <v>54</v>
      </c>
      <c r="N722" t="s">
        <v>84</v>
      </c>
      <c r="O722" t="s">
        <v>85</v>
      </c>
      <c r="P722" t="s">
        <v>28</v>
      </c>
      <c r="Q722" t="s">
        <v>124</v>
      </c>
      <c r="R722" t="s">
        <v>1594</v>
      </c>
      <c r="S722" t="s">
        <v>31</v>
      </c>
      <c r="T722">
        <v>2</v>
      </c>
      <c r="U722">
        <v>2725.44</v>
      </c>
      <c r="V722">
        <v>0.25</v>
      </c>
      <c r="W722">
        <v>0.25</v>
      </c>
      <c r="X722">
        <v>4088.16</v>
      </c>
      <c r="Y722">
        <f t="shared" si="88"/>
        <v>4088.16</v>
      </c>
      <c r="Z722">
        <v>3205.68</v>
      </c>
      <c r="AA722">
        <v>882.48</v>
      </c>
      <c r="AB722">
        <f t="shared" si="93"/>
        <v>882.48</v>
      </c>
      <c r="AC722" s="8">
        <f t="shared" si="94"/>
        <v>0.21586239286133616</v>
      </c>
      <c r="AD722" t="s">
        <v>32</v>
      </c>
      <c r="AE722" t="s">
        <v>33</v>
      </c>
      <c r="AF722" t="str">
        <f t="shared" si="95"/>
        <v>Perfect Match</v>
      </c>
    </row>
    <row r="723" spans="1:32">
      <c r="A723" t="str">
        <f>IF(OR(I723&lt;0, ISTEXT(W723), ISTEXT(Y723)), "Invalid", IF(OR(B723="Conflicting Duplicate", M723="Unknown", S723="Unknown"), "Warning", "Valid"))</f>
        <v>Valid</v>
      </c>
      <c r="B723" t="str">
        <f t="shared" si="89"/>
        <v>-</v>
      </c>
      <c r="C723" t="s">
        <v>1595</v>
      </c>
      <c r="D723" s="2">
        <v>45701</v>
      </c>
      <c r="E723" t="str">
        <f t="shared" si="90"/>
        <v>February</v>
      </c>
      <c r="F723">
        <f t="shared" si="91"/>
        <v>2025</v>
      </c>
      <c r="G723" s="2">
        <v>45701</v>
      </c>
      <c r="H723" t="s">
        <v>1596</v>
      </c>
      <c r="I723">
        <f t="shared" si="92"/>
        <v>0</v>
      </c>
      <c r="J723" t="s">
        <v>2795</v>
      </c>
      <c r="K723" t="s">
        <v>264</v>
      </c>
      <c r="L723" t="s">
        <v>90</v>
      </c>
      <c r="M723" t="s">
        <v>38</v>
      </c>
      <c r="N723" t="s">
        <v>39</v>
      </c>
      <c r="O723" t="s">
        <v>40</v>
      </c>
      <c r="P723" t="s">
        <v>28</v>
      </c>
      <c r="Q723" t="s">
        <v>29</v>
      </c>
      <c r="R723" t="s">
        <v>1597</v>
      </c>
      <c r="S723" t="s">
        <v>31</v>
      </c>
      <c r="T723">
        <v>7</v>
      </c>
      <c r="U723">
        <v>2296.6999999999998</v>
      </c>
      <c r="V723">
        <v>0.05</v>
      </c>
      <c r="W723">
        <v>0.05</v>
      </c>
      <c r="X723">
        <v>15273.05</v>
      </c>
      <c r="Y723">
        <f t="shared" si="88"/>
        <v>15273.06</v>
      </c>
      <c r="Z723">
        <v>11088.76</v>
      </c>
      <c r="AA723">
        <v>4184.29</v>
      </c>
      <c r="AB723">
        <f t="shared" si="93"/>
        <v>4184.2999999999993</v>
      </c>
      <c r="AC723" s="8">
        <f t="shared" si="94"/>
        <v>0.2739660552633198</v>
      </c>
      <c r="AD723" t="s">
        <v>32</v>
      </c>
      <c r="AE723" t="s">
        <v>1598</v>
      </c>
      <c r="AF723" t="str">
        <f t="shared" si="95"/>
        <v>Mismatch Found</v>
      </c>
    </row>
    <row r="724" spans="1:32">
      <c r="A724" t="str">
        <f>IF(OR(I724&lt;0, ISTEXT(W724), ISTEXT(Y724)), "Invalid", IF(OR(B724="Conflicting Duplicate", M724="Unknown", S724="Unknown"), "Warning", "Valid"))</f>
        <v>Valid</v>
      </c>
      <c r="B724" t="str">
        <f t="shared" si="89"/>
        <v>-</v>
      </c>
      <c r="C724" t="s">
        <v>1605</v>
      </c>
      <c r="D724" s="2">
        <v>45842</v>
      </c>
      <c r="E724" t="str">
        <f t="shared" si="90"/>
        <v>July</v>
      </c>
      <c r="F724">
        <f t="shared" si="91"/>
        <v>2025</v>
      </c>
      <c r="G724" s="2">
        <v>45844</v>
      </c>
      <c r="H724" t="s">
        <v>1606</v>
      </c>
      <c r="I724">
        <f t="shared" si="92"/>
        <v>2</v>
      </c>
      <c r="J724" t="s">
        <v>2795</v>
      </c>
      <c r="K724" t="s">
        <v>264</v>
      </c>
      <c r="L724" t="s">
        <v>37</v>
      </c>
      <c r="M724" t="s">
        <v>38</v>
      </c>
      <c r="N724" t="s">
        <v>228</v>
      </c>
      <c r="O724" t="s">
        <v>229</v>
      </c>
      <c r="P724" t="s">
        <v>41</v>
      </c>
      <c r="Q724" t="s">
        <v>66</v>
      </c>
      <c r="R724" t="s">
        <v>1607</v>
      </c>
      <c r="S724" t="s">
        <v>31</v>
      </c>
      <c r="T724">
        <v>2</v>
      </c>
      <c r="U724">
        <v>3686.42</v>
      </c>
      <c r="V724">
        <v>0.1</v>
      </c>
      <c r="W724">
        <v>0.1</v>
      </c>
      <c r="X724">
        <v>6635.56</v>
      </c>
      <c r="Y724">
        <f t="shared" si="88"/>
        <v>6635.56</v>
      </c>
      <c r="Z724">
        <v>3652.91</v>
      </c>
      <c r="AA724">
        <v>2982.65</v>
      </c>
      <c r="AB724">
        <f t="shared" si="93"/>
        <v>2982.6500000000005</v>
      </c>
      <c r="AC724" s="8">
        <f t="shared" si="94"/>
        <v>0.44949484293714476</v>
      </c>
      <c r="AD724" t="s">
        <v>32</v>
      </c>
      <c r="AE724" t="s">
        <v>33</v>
      </c>
      <c r="AF724" t="str">
        <f t="shared" si="95"/>
        <v>Perfect Match</v>
      </c>
    </row>
    <row r="725" spans="1:32">
      <c r="A725" t="str">
        <f>IF(OR(I725&lt;0, ISTEXT(W725), ISTEXT(Y725)), "Invalid", IF(OR(B725="Conflicting Duplicate", M725="Unknown", S725="Unknown"), "Warning", "Valid"))</f>
        <v>Valid</v>
      </c>
      <c r="B725" t="str">
        <f t="shared" si="89"/>
        <v>-</v>
      </c>
      <c r="C725" t="s">
        <v>1611</v>
      </c>
      <c r="D725" s="2">
        <v>45907</v>
      </c>
      <c r="E725" t="str">
        <f t="shared" si="90"/>
        <v>September</v>
      </c>
      <c r="F725">
        <f t="shared" si="91"/>
        <v>2025</v>
      </c>
      <c r="G725" s="2">
        <v>45910</v>
      </c>
      <c r="H725" t="s">
        <v>1612</v>
      </c>
      <c r="I725">
        <f t="shared" si="92"/>
        <v>3</v>
      </c>
      <c r="J725" t="s">
        <v>2795</v>
      </c>
      <c r="K725" t="s">
        <v>23</v>
      </c>
      <c r="L725" t="s">
        <v>24</v>
      </c>
      <c r="M725" t="s">
        <v>25</v>
      </c>
      <c r="N725" t="s">
        <v>122</v>
      </c>
      <c r="O725" t="s">
        <v>123</v>
      </c>
      <c r="P725" t="s">
        <v>41</v>
      </c>
      <c r="Q725" t="s">
        <v>66</v>
      </c>
      <c r="R725" t="s">
        <v>1613</v>
      </c>
      <c r="S725" t="s">
        <v>44</v>
      </c>
      <c r="T725">
        <v>2</v>
      </c>
      <c r="U725">
        <v>447.55</v>
      </c>
      <c r="V725">
        <v>0.05</v>
      </c>
      <c r="W725">
        <v>0.05</v>
      </c>
      <c r="X725">
        <v>850.35</v>
      </c>
      <c r="Y725">
        <f t="shared" si="88"/>
        <v>850.35</v>
      </c>
      <c r="Z725">
        <v>600.98</v>
      </c>
      <c r="AA725">
        <v>249.37</v>
      </c>
      <c r="AB725">
        <f t="shared" si="93"/>
        <v>249.37</v>
      </c>
      <c r="AC725" s="8">
        <f t="shared" si="94"/>
        <v>0.29325571823366847</v>
      </c>
      <c r="AD725" t="s">
        <v>102</v>
      </c>
      <c r="AE725" t="s">
        <v>1614</v>
      </c>
      <c r="AF725" t="str">
        <f t="shared" si="95"/>
        <v>Perfect Match</v>
      </c>
    </row>
    <row r="726" spans="1:32">
      <c r="A726" t="str">
        <f>IF(OR(I726&lt;0, ISTEXT(W726), ISTEXT(Y726)), "Invalid", IF(OR(B726="Conflicting Duplicate", M726="Unknown", S726="Unknown"), "Warning", "Valid"))</f>
        <v>Valid</v>
      </c>
      <c r="B726" t="str">
        <f t="shared" si="89"/>
        <v>-</v>
      </c>
      <c r="C726" t="s">
        <v>1629</v>
      </c>
      <c r="D726" s="2">
        <v>45700</v>
      </c>
      <c r="E726" t="str">
        <f t="shared" si="90"/>
        <v>February</v>
      </c>
      <c r="F726">
        <f t="shared" si="91"/>
        <v>2025</v>
      </c>
      <c r="G726" s="2">
        <v>45705</v>
      </c>
      <c r="H726" t="s">
        <v>1630</v>
      </c>
      <c r="I726">
        <f t="shared" si="92"/>
        <v>5</v>
      </c>
      <c r="J726" t="s">
        <v>2795</v>
      </c>
      <c r="K726" t="s">
        <v>53</v>
      </c>
      <c r="L726" t="s">
        <v>90</v>
      </c>
      <c r="M726" t="s">
        <v>63</v>
      </c>
      <c r="N726" t="s">
        <v>180</v>
      </c>
      <c r="O726" t="s">
        <v>181</v>
      </c>
      <c r="P726" t="s">
        <v>28</v>
      </c>
      <c r="Q726" t="s">
        <v>48</v>
      </c>
      <c r="R726" t="s">
        <v>1631</v>
      </c>
      <c r="S726" t="s">
        <v>59</v>
      </c>
      <c r="T726">
        <v>4</v>
      </c>
      <c r="U726">
        <v>4328.12</v>
      </c>
      <c r="V726">
        <v>0</v>
      </c>
      <c r="W726">
        <v>0</v>
      </c>
      <c r="X726">
        <v>17312.48</v>
      </c>
      <c r="Y726">
        <f t="shared" si="88"/>
        <v>17312.48</v>
      </c>
      <c r="Z726">
        <v>14424.22</v>
      </c>
      <c r="AA726">
        <v>2888.26</v>
      </c>
      <c r="AB726">
        <f t="shared" si="93"/>
        <v>2888.26</v>
      </c>
      <c r="AC726" s="8">
        <f t="shared" si="94"/>
        <v>0.16683109525613893</v>
      </c>
      <c r="AD726" t="s">
        <v>32</v>
      </c>
      <c r="AE726" t="s">
        <v>33</v>
      </c>
      <c r="AF726" t="str">
        <f t="shared" si="95"/>
        <v>Perfect Match</v>
      </c>
    </row>
    <row r="727" spans="1:32">
      <c r="A727" t="str">
        <f>IF(OR(I727&lt;0, ISTEXT(W727), ISTEXT(Y727)), "Invalid", IF(OR(B727="Conflicting Duplicate", M727="Unknown", S727="Unknown"), "Warning", "Valid"))</f>
        <v>Valid</v>
      </c>
      <c r="B727" t="str">
        <f t="shared" si="89"/>
        <v>-</v>
      </c>
      <c r="C727" t="s">
        <v>1638</v>
      </c>
      <c r="D727" s="2">
        <v>45762</v>
      </c>
      <c r="E727" t="str">
        <f t="shared" si="90"/>
        <v>April</v>
      </c>
      <c r="F727">
        <f t="shared" si="91"/>
        <v>2025</v>
      </c>
      <c r="G727" s="2">
        <v>45769</v>
      </c>
      <c r="H727" t="s">
        <v>1639</v>
      </c>
      <c r="I727">
        <f t="shared" si="92"/>
        <v>7</v>
      </c>
      <c r="J727" t="s">
        <v>2795</v>
      </c>
      <c r="K727" t="s">
        <v>47</v>
      </c>
      <c r="L727" t="s">
        <v>37</v>
      </c>
      <c r="M727" t="s">
        <v>25</v>
      </c>
      <c r="N727" t="s">
        <v>236</v>
      </c>
      <c r="O727" t="s">
        <v>237</v>
      </c>
      <c r="P727" t="s">
        <v>28</v>
      </c>
      <c r="Q727" t="s">
        <v>153</v>
      </c>
      <c r="R727" t="s">
        <v>1640</v>
      </c>
      <c r="S727" t="s">
        <v>44</v>
      </c>
      <c r="T727">
        <v>4</v>
      </c>
      <c r="U727">
        <v>2990.42</v>
      </c>
      <c r="V727">
        <v>0.25</v>
      </c>
      <c r="W727">
        <v>0.25</v>
      </c>
      <c r="X727">
        <v>8971.26</v>
      </c>
      <c r="Y727">
        <f t="shared" si="88"/>
        <v>8971.26</v>
      </c>
      <c r="Z727">
        <v>6814.35</v>
      </c>
      <c r="AA727">
        <v>2156.91</v>
      </c>
      <c r="AB727">
        <f t="shared" si="93"/>
        <v>2156.91</v>
      </c>
      <c r="AC727" s="8">
        <f t="shared" si="94"/>
        <v>0.24042442198754688</v>
      </c>
      <c r="AD727" t="s">
        <v>32</v>
      </c>
      <c r="AE727" t="s">
        <v>33</v>
      </c>
      <c r="AF727" t="str">
        <f t="shared" si="95"/>
        <v>Perfect Match</v>
      </c>
    </row>
    <row r="728" spans="1:32">
      <c r="A728" t="str">
        <f>IF(OR(I728&lt;0, ISTEXT(W728), ISTEXT(Y728)), "Invalid", IF(OR(B728="Conflicting Duplicate", M728="Unknown", S728="Unknown"), "Warning", "Valid"))</f>
        <v>Valid</v>
      </c>
      <c r="B728" t="str">
        <f t="shared" si="89"/>
        <v>-</v>
      </c>
      <c r="C728" t="s">
        <v>1644</v>
      </c>
      <c r="D728" s="2">
        <v>45789</v>
      </c>
      <c r="E728" t="str">
        <f t="shared" si="90"/>
        <v>May</v>
      </c>
      <c r="F728">
        <f t="shared" si="91"/>
        <v>2025</v>
      </c>
      <c r="G728" s="2">
        <v>45791</v>
      </c>
      <c r="H728" t="s">
        <v>1645</v>
      </c>
      <c r="I728">
        <f t="shared" si="92"/>
        <v>2</v>
      </c>
      <c r="J728" t="s">
        <v>2795</v>
      </c>
      <c r="K728" t="s">
        <v>79</v>
      </c>
      <c r="L728" t="s">
        <v>24</v>
      </c>
      <c r="M728" t="s">
        <v>63</v>
      </c>
      <c r="N728" t="s">
        <v>180</v>
      </c>
      <c r="O728" t="s">
        <v>181</v>
      </c>
      <c r="P728" t="s">
        <v>74</v>
      </c>
      <c r="Q728" t="s">
        <v>274</v>
      </c>
      <c r="R728" t="s">
        <v>1646</v>
      </c>
      <c r="S728" t="s">
        <v>44</v>
      </c>
      <c r="T728">
        <v>8</v>
      </c>
      <c r="U728">
        <v>3631.44</v>
      </c>
      <c r="V728">
        <v>0.2</v>
      </c>
      <c r="W728">
        <v>0.2</v>
      </c>
      <c r="X728">
        <v>23241.22</v>
      </c>
      <c r="Y728">
        <f t="shared" si="88"/>
        <v>23241.22</v>
      </c>
      <c r="Z728">
        <v>17220.900000000001</v>
      </c>
      <c r="AA728">
        <v>6020.32</v>
      </c>
      <c r="AB728">
        <f t="shared" si="93"/>
        <v>6020.32</v>
      </c>
      <c r="AC728" s="8">
        <f t="shared" si="94"/>
        <v>0.25903631564952267</v>
      </c>
      <c r="AD728" t="s">
        <v>32</v>
      </c>
      <c r="AE728" t="s">
        <v>33</v>
      </c>
      <c r="AF728" t="str">
        <f t="shared" si="95"/>
        <v>Perfect Match</v>
      </c>
    </row>
    <row r="729" spans="1:32">
      <c r="A729" t="str">
        <f>IF(OR(I729&lt;0, ISTEXT(W729), ISTEXT(Y729)), "Invalid", IF(OR(B729="Conflicting Duplicate", M729="Unknown", S729="Unknown"), "Warning", "Valid"))</f>
        <v>Valid</v>
      </c>
      <c r="B729" t="str">
        <f t="shared" si="89"/>
        <v>-</v>
      </c>
      <c r="C729" t="s">
        <v>1653</v>
      </c>
      <c r="D729" s="2">
        <v>45718</v>
      </c>
      <c r="E729" t="str">
        <f t="shared" si="90"/>
        <v>March</v>
      </c>
      <c r="F729">
        <f t="shared" si="91"/>
        <v>2025</v>
      </c>
      <c r="G729" s="2">
        <v>45719</v>
      </c>
      <c r="H729" t="s">
        <v>1260</v>
      </c>
      <c r="I729">
        <f t="shared" si="92"/>
        <v>1</v>
      </c>
      <c r="J729" t="s">
        <v>2795</v>
      </c>
      <c r="K729" t="s">
        <v>47</v>
      </c>
      <c r="L729" t="s">
        <v>90</v>
      </c>
      <c r="M729" t="s">
        <v>54</v>
      </c>
      <c r="N729" t="s">
        <v>185</v>
      </c>
      <c r="O729" t="s">
        <v>186</v>
      </c>
      <c r="P729" t="s">
        <v>28</v>
      </c>
      <c r="Q729" t="s">
        <v>91</v>
      </c>
      <c r="R729" t="s">
        <v>1654</v>
      </c>
      <c r="S729" t="s">
        <v>31</v>
      </c>
      <c r="T729">
        <v>2</v>
      </c>
      <c r="U729">
        <v>4031.45</v>
      </c>
      <c r="V729">
        <v>0.25</v>
      </c>
      <c r="W729">
        <v>0.25</v>
      </c>
      <c r="X729">
        <v>6047.17</v>
      </c>
      <c r="Y729">
        <f t="shared" si="88"/>
        <v>6047.18</v>
      </c>
      <c r="Z729">
        <v>3368.79</v>
      </c>
      <c r="AA729">
        <v>2678.38</v>
      </c>
      <c r="AB729">
        <f t="shared" si="93"/>
        <v>2678.3900000000003</v>
      </c>
      <c r="AC729" s="8">
        <f t="shared" si="94"/>
        <v>0.44291554079752882</v>
      </c>
      <c r="AD729" t="s">
        <v>32</v>
      </c>
      <c r="AE729" t="s">
        <v>33</v>
      </c>
      <c r="AF729" t="str">
        <f t="shared" si="95"/>
        <v>Mismatch Found</v>
      </c>
    </row>
    <row r="730" spans="1:32">
      <c r="A730" t="str">
        <f>IF(OR(I730&lt;0, ISTEXT(W730), ISTEXT(Y730)), "Invalid", IF(OR(B730="Conflicting Duplicate", M730="Unknown", S730="Unknown"), "Warning", "Valid"))</f>
        <v>Valid</v>
      </c>
      <c r="B730" t="str">
        <f t="shared" si="89"/>
        <v>-</v>
      </c>
      <c r="C730" t="s">
        <v>1655</v>
      </c>
      <c r="D730" s="2">
        <v>45835</v>
      </c>
      <c r="E730" t="str">
        <f t="shared" si="90"/>
        <v>June</v>
      </c>
      <c r="F730">
        <f t="shared" si="91"/>
        <v>2025</v>
      </c>
      <c r="G730" s="2">
        <v>45840</v>
      </c>
      <c r="H730" t="s">
        <v>1656</v>
      </c>
      <c r="I730">
        <f t="shared" si="92"/>
        <v>5</v>
      </c>
      <c r="J730" t="s">
        <v>2795</v>
      </c>
      <c r="K730" t="s">
        <v>128</v>
      </c>
      <c r="L730" t="s">
        <v>90</v>
      </c>
      <c r="M730" t="s">
        <v>54</v>
      </c>
      <c r="N730" t="s">
        <v>185</v>
      </c>
      <c r="O730" t="s">
        <v>186</v>
      </c>
      <c r="P730" t="s">
        <v>74</v>
      </c>
      <c r="Q730" t="s">
        <v>75</v>
      </c>
      <c r="R730" t="s">
        <v>1657</v>
      </c>
      <c r="S730" t="s">
        <v>50</v>
      </c>
      <c r="T730">
        <v>6</v>
      </c>
      <c r="U730">
        <v>1099.49</v>
      </c>
      <c r="V730">
        <v>0.1</v>
      </c>
      <c r="W730">
        <v>0.1</v>
      </c>
      <c r="X730">
        <v>6212.38</v>
      </c>
      <c r="Y730">
        <f t="shared" si="88"/>
        <v>5937.25</v>
      </c>
      <c r="Z730">
        <v>4088.46</v>
      </c>
      <c r="AA730">
        <v>1848.79</v>
      </c>
      <c r="AB730">
        <f t="shared" si="93"/>
        <v>1848.79</v>
      </c>
      <c r="AC730" s="8">
        <f t="shared" si="94"/>
        <v>0.31138826897974653</v>
      </c>
      <c r="AD730" t="s">
        <v>32</v>
      </c>
      <c r="AE730" t="s">
        <v>33</v>
      </c>
      <c r="AF730" t="str">
        <f t="shared" si="95"/>
        <v>Mismatch Found</v>
      </c>
    </row>
    <row r="731" spans="1:32">
      <c r="A731" s="6" t="str">
        <f>IF(OR(I731&lt;0, ISTEXT(W731), ISTEXT(Y731)), "Invalid", IF(OR(B731="Conflicting Duplicate", M731="Unknown", S731="Unknown"), "Warning", "Valid"))</f>
        <v>Invalid</v>
      </c>
      <c r="B731" t="str">
        <f t="shared" si="89"/>
        <v>-</v>
      </c>
      <c r="C731" t="s">
        <v>1661</v>
      </c>
      <c r="D731" s="2">
        <v>45758</v>
      </c>
      <c r="E731" t="str">
        <f t="shared" si="90"/>
        <v>April</v>
      </c>
      <c r="F731">
        <f t="shared" si="91"/>
        <v>2025</v>
      </c>
      <c r="G731" s="2">
        <v>45758</v>
      </c>
      <c r="H731" t="s">
        <v>1662</v>
      </c>
      <c r="I731">
        <f t="shared" si="92"/>
        <v>0</v>
      </c>
      <c r="J731" t="s">
        <v>2795</v>
      </c>
      <c r="K731" t="s">
        <v>118</v>
      </c>
      <c r="L731" t="s">
        <v>90</v>
      </c>
      <c r="M731" t="s">
        <v>25</v>
      </c>
      <c r="N731" t="s">
        <v>350</v>
      </c>
      <c r="O731" t="s">
        <v>351</v>
      </c>
      <c r="P731" t="s">
        <v>28</v>
      </c>
      <c r="Q731" t="s">
        <v>29</v>
      </c>
      <c r="R731" t="s">
        <v>1663</v>
      </c>
      <c r="S731" t="s">
        <v>59</v>
      </c>
      <c r="T731">
        <v>1</v>
      </c>
      <c r="U731">
        <v>4458.49</v>
      </c>
      <c r="V731">
        <v>-7.0000000000000007E-2</v>
      </c>
      <c r="W731" s="4" t="s">
        <v>2794</v>
      </c>
      <c r="X731">
        <v>3566.79</v>
      </c>
      <c r="Y731" s="4" t="str">
        <f t="shared" si="88"/>
        <v>Cannot Calculate</v>
      </c>
      <c r="Z731">
        <v>2083.41</v>
      </c>
      <c r="AA731">
        <v>1483.38</v>
      </c>
      <c r="AB731" s="4" t="str">
        <f t="shared" si="93"/>
        <v>Cannot Calculate</v>
      </c>
      <c r="AC731" s="9">
        <f t="shared" si="94"/>
        <v>0</v>
      </c>
      <c r="AD731" t="s">
        <v>32</v>
      </c>
      <c r="AE731" t="s">
        <v>33</v>
      </c>
      <c r="AF731" t="str">
        <f t="shared" si="95"/>
        <v>Calculation Blocked</v>
      </c>
    </row>
    <row r="732" spans="1:32">
      <c r="A732" t="str">
        <f>IF(OR(I732&lt;0, ISTEXT(W732), ISTEXT(Y732)), "Invalid", IF(OR(B732="Conflicting Duplicate", M732="Unknown", S732="Unknown"), "Warning", "Valid"))</f>
        <v>Valid</v>
      </c>
      <c r="B732" t="str">
        <f t="shared" si="89"/>
        <v>-</v>
      </c>
      <c r="C732" t="s">
        <v>1667</v>
      </c>
      <c r="D732" s="2">
        <v>45802</v>
      </c>
      <c r="E732" t="str">
        <f t="shared" si="90"/>
        <v>May</v>
      </c>
      <c r="F732">
        <f t="shared" si="91"/>
        <v>2025</v>
      </c>
      <c r="G732" s="2">
        <v>45804</v>
      </c>
      <c r="H732" t="s">
        <v>1668</v>
      </c>
      <c r="I732">
        <f t="shared" si="92"/>
        <v>2</v>
      </c>
      <c r="J732" t="s">
        <v>2795</v>
      </c>
      <c r="K732" t="s">
        <v>118</v>
      </c>
      <c r="L732" t="s">
        <v>24</v>
      </c>
      <c r="M732" t="s">
        <v>38</v>
      </c>
      <c r="N732" t="s">
        <v>39</v>
      </c>
      <c r="O732" t="s">
        <v>40</v>
      </c>
      <c r="P732" t="s">
        <v>41</v>
      </c>
      <c r="Q732" t="s">
        <v>57</v>
      </c>
      <c r="R732" t="s">
        <v>1669</v>
      </c>
      <c r="S732" t="s">
        <v>31</v>
      </c>
      <c r="T732">
        <v>7</v>
      </c>
      <c r="U732">
        <v>2123.2800000000002</v>
      </c>
      <c r="V732">
        <v>0.2</v>
      </c>
      <c r="W732">
        <v>0.2</v>
      </c>
      <c r="X732">
        <v>11890.37</v>
      </c>
      <c r="Y732">
        <f t="shared" si="88"/>
        <v>11890.37</v>
      </c>
      <c r="Z732">
        <v>9234.5300000000007</v>
      </c>
      <c r="AA732">
        <v>2655.84</v>
      </c>
      <c r="AB732">
        <f t="shared" si="93"/>
        <v>2655.84</v>
      </c>
      <c r="AC732" s="8">
        <f t="shared" si="94"/>
        <v>0.22336058507851311</v>
      </c>
      <c r="AD732" t="s">
        <v>102</v>
      </c>
      <c r="AE732" t="s">
        <v>103</v>
      </c>
      <c r="AF732" t="str">
        <f t="shared" si="95"/>
        <v>Perfect Match</v>
      </c>
    </row>
    <row r="733" spans="1:32">
      <c r="A733" s="6" t="str">
        <f>IF(OR(I733&lt;0, ISTEXT(W733), ISTEXT(Y733)), "Invalid", IF(OR(B733="Conflicting Duplicate", M733="Unknown", S733="Unknown"), "Warning", "Valid"))</f>
        <v>Invalid</v>
      </c>
      <c r="B733" t="str">
        <f t="shared" si="89"/>
        <v>-</v>
      </c>
      <c r="C733" t="s">
        <v>1670</v>
      </c>
      <c r="D733" s="2">
        <v>45777</v>
      </c>
      <c r="E733" t="str">
        <f t="shared" si="90"/>
        <v>April</v>
      </c>
      <c r="F733">
        <f t="shared" si="91"/>
        <v>2025</v>
      </c>
      <c r="G733" s="2">
        <v>45773</v>
      </c>
      <c r="H733" t="s">
        <v>1671</v>
      </c>
      <c r="I733" s="7">
        <f t="shared" si="92"/>
        <v>-4</v>
      </c>
      <c r="J733" s="7" t="s">
        <v>2802</v>
      </c>
      <c r="K733" t="s">
        <v>162</v>
      </c>
      <c r="L733" t="s">
        <v>90</v>
      </c>
      <c r="M733" t="s">
        <v>38</v>
      </c>
      <c r="N733" t="s">
        <v>39</v>
      </c>
      <c r="O733" t="s">
        <v>40</v>
      </c>
      <c r="P733" t="s">
        <v>41</v>
      </c>
      <c r="Q733" t="s">
        <v>42</v>
      </c>
      <c r="R733" t="s">
        <v>1672</v>
      </c>
      <c r="S733" t="s">
        <v>50</v>
      </c>
      <c r="T733">
        <v>7</v>
      </c>
      <c r="U733">
        <v>1604.13</v>
      </c>
      <c r="V733">
        <v>0.25</v>
      </c>
      <c r="W733">
        <v>0.25</v>
      </c>
      <c r="X733">
        <v>8421.68</v>
      </c>
      <c r="Y733">
        <f t="shared" si="88"/>
        <v>8421.68</v>
      </c>
      <c r="Z733">
        <v>6534.47</v>
      </c>
      <c r="AA733">
        <v>1887.21</v>
      </c>
      <c r="AB733">
        <f t="shared" si="93"/>
        <v>1887.21</v>
      </c>
      <c r="AC733" s="8">
        <f t="shared" si="94"/>
        <v>0.22408949283278395</v>
      </c>
      <c r="AD733" t="s">
        <v>32</v>
      </c>
      <c r="AE733" t="s">
        <v>68</v>
      </c>
      <c r="AF733" t="str">
        <f t="shared" si="95"/>
        <v>Perfect Match</v>
      </c>
    </row>
    <row r="734" spans="1:32">
      <c r="A734" t="str">
        <f>IF(OR(I734&lt;0, ISTEXT(W734), ISTEXT(Y734)), "Invalid", IF(OR(B734="Conflicting Duplicate", M734="Unknown", S734="Unknown"), "Warning", "Valid"))</f>
        <v>Valid</v>
      </c>
      <c r="B734" t="str">
        <f t="shared" si="89"/>
        <v>-</v>
      </c>
      <c r="C734" t="s">
        <v>1673</v>
      </c>
      <c r="D734" s="2">
        <v>45723</v>
      </c>
      <c r="E734" t="str">
        <f t="shared" si="90"/>
        <v>March</v>
      </c>
      <c r="F734">
        <f t="shared" si="91"/>
        <v>2025</v>
      </c>
      <c r="G734" s="2">
        <v>45845</v>
      </c>
      <c r="H734" t="s">
        <v>1674</v>
      </c>
      <c r="I734">
        <f t="shared" si="92"/>
        <v>122</v>
      </c>
      <c r="J734" t="s">
        <v>2795</v>
      </c>
      <c r="K734" t="s">
        <v>114</v>
      </c>
      <c r="L734" t="s">
        <v>24</v>
      </c>
      <c r="M734" t="s">
        <v>25</v>
      </c>
      <c r="N734" t="s">
        <v>136</v>
      </c>
      <c r="O734" t="s">
        <v>137</v>
      </c>
      <c r="P734" t="s">
        <v>41</v>
      </c>
      <c r="Q734" t="s">
        <v>42</v>
      </c>
      <c r="R734" t="s">
        <v>1675</v>
      </c>
      <c r="S734" t="s">
        <v>59</v>
      </c>
      <c r="T734">
        <v>4</v>
      </c>
      <c r="U734">
        <v>4365.21</v>
      </c>
      <c r="V734">
        <v>0.2</v>
      </c>
      <c r="W734">
        <v>0.2</v>
      </c>
      <c r="X734">
        <v>13968.67</v>
      </c>
      <c r="Y734">
        <f t="shared" si="88"/>
        <v>13968.67</v>
      </c>
      <c r="Z734">
        <v>8857.58</v>
      </c>
      <c r="AA734">
        <v>5111.09</v>
      </c>
      <c r="AB734">
        <f t="shared" si="93"/>
        <v>5111.09</v>
      </c>
      <c r="AC734" s="8">
        <f t="shared" si="94"/>
        <v>0.3658966816454251</v>
      </c>
      <c r="AD734" t="s">
        <v>111</v>
      </c>
      <c r="AE734" t="s">
        <v>68</v>
      </c>
      <c r="AF734" t="str">
        <f t="shared" si="95"/>
        <v>Perfect Match</v>
      </c>
    </row>
    <row r="735" spans="1:32">
      <c r="A735" t="str">
        <f>IF(OR(I735&lt;0, ISTEXT(W735), ISTEXT(Y735)), "Invalid", IF(OR(B735="Conflicting Duplicate", M735="Unknown", S735="Unknown"), "Warning", "Valid"))</f>
        <v>Valid</v>
      </c>
      <c r="B735" t="str">
        <f t="shared" si="89"/>
        <v>-</v>
      </c>
      <c r="C735" t="s">
        <v>1679</v>
      </c>
      <c r="D735" s="2">
        <v>45741</v>
      </c>
      <c r="E735" t="str">
        <f t="shared" si="90"/>
        <v>March</v>
      </c>
      <c r="F735">
        <f t="shared" si="91"/>
        <v>2025</v>
      </c>
      <c r="G735" s="2">
        <v>45748</v>
      </c>
      <c r="H735" t="s">
        <v>1680</v>
      </c>
      <c r="I735">
        <f t="shared" si="92"/>
        <v>7</v>
      </c>
      <c r="J735" t="s">
        <v>2795</v>
      </c>
      <c r="K735" t="s">
        <v>162</v>
      </c>
      <c r="L735" t="s">
        <v>24</v>
      </c>
      <c r="M735" t="s">
        <v>25</v>
      </c>
      <c r="N735" t="s">
        <v>122</v>
      </c>
      <c r="O735" t="s">
        <v>123</v>
      </c>
      <c r="P735" t="s">
        <v>28</v>
      </c>
      <c r="Q735" t="s">
        <v>91</v>
      </c>
      <c r="R735" t="s">
        <v>1681</v>
      </c>
      <c r="S735" t="s">
        <v>31</v>
      </c>
      <c r="T735">
        <v>6</v>
      </c>
      <c r="U735">
        <v>2192.11</v>
      </c>
      <c r="V735">
        <v>0.05</v>
      </c>
      <c r="W735">
        <v>0.05</v>
      </c>
      <c r="X735">
        <v>12495.03</v>
      </c>
      <c r="Y735">
        <f t="shared" si="88"/>
        <v>12495.03</v>
      </c>
      <c r="Z735">
        <v>9184.52</v>
      </c>
      <c r="AA735">
        <v>3310.51</v>
      </c>
      <c r="AB735">
        <f t="shared" si="93"/>
        <v>3310.51</v>
      </c>
      <c r="AC735" s="8">
        <f t="shared" si="94"/>
        <v>0.26494614258629229</v>
      </c>
      <c r="AD735" t="s">
        <v>32</v>
      </c>
      <c r="AE735" t="s">
        <v>33</v>
      </c>
      <c r="AF735" t="str">
        <f t="shared" si="95"/>
        <v>Perfect Match</v>
      </c>
    </row>
    <row r="736" spans="1:32">
      <c r="A736" t="str">
        <f>IF(OR(I736&lt;0, ISTEXT(W736), ISTEXT(Y736)), "Invalid", IF(OR(B736="Conflicting Duplicate", M736="Unknown", S736="Unknown"), "Warning", "Valid"))</f>
        <v>Valid</v>
      </c>
      <c r="B736" t="str">
        <f t="shared" si="89"/>
        <v>-</v>
      </c>
      <c r="C736" t="s">
        <v>1682</v>
      </c>
      <c r="D736" s="2">
        <v>45716</v>
      </c>
      <c r="E736" t="str">
        <f t="shared" si="90"/>
        <v>February</v>
      </c>
      <c r="F736">
        <f t="shared" si="91"/>
        <v>2025</v>
      </c>
      <c r="G736" s="2">
        <v>45724</v>
      </c>
      <c r="H736" t="s">
        <v>1683</v>
      </c>
      <c r="I736">
        <f t="shared" si="92"/>
        <v>8</v>
      </c>
      <c r="J736" t="s">
        <v>2795</v>
      </c>
      <c r="K736" t="s">
        <v>79</v>
      </c>
      <c r="L736" t="s">
        <v>37</v>
      </c>
      <c r="M736" t="s">
        <v>38</v>
      </c>
      <c r="N736" t="s">
        <v>228</v>
      </c>
      <c r="O736" t="s">
        <v>229</v>
      </c>
      <c r="P736" t="s">
        <v>74</v>
      </c>
      <c r="Q736" t="s">
        <v>171</v>
      </c>
      <c r="R736" t="s">
        <v>1684</v>
      </c>
      <c r="S736" t="s">
        <v>50</v>
      </c>
      <c r="T736">
        <v>9</v>
      </c>
      <c r="U736">
        <v>3670.54</v>
      </c>
      <c r="V736">
        <v>0</v>
      </c>
      <c r="W736">
        <v>0</v>
      </c>
      <c r="X736">
        <v>33034.86</v>
      </c>
      <c r="Y736">
        <f t="shared" si="88"/>
        <v>33034.86</v>
      </c>
      <c r="Z736">
        <v>24539.83</v>
      </c>
      <c r="AA736">
        <v>8495.0300000000007</v>
      </c>
      <c r="AB736">
        <f t="shared" si="93"/>
        <v>8495.0299999999988</v>
      </c>
      <c r="AC736" s="8">
        <f t="shared" si="94"/>
        <v>0.25715350390466307</v>
      </c>
      <c r="AD736" t="s">
        <v>32</v>
      </c>
      <c r="AE736" t="s">
        <v>33</v>
      </c>
      <c r="AF736" t="str">
        <f t="shared" si="95"/>
        <v>Perfect Match</v>
      </c>
    </row>
    <row r="737" spans="1:32">
      <c r="A737" s="6" t="str">
        <f>IF(OR(I737&lt;0, ISTEXT(W737), ISTEXT(Y737)), "Invalid", IF(OR(B737="Conflicting Duplicate", M737="Unknown", S737="Unknown"), "Warning", "Valid"))</f>
        <v>Invalid</v>
      </c>
      <c r="B737" t="str">
        <f t="shared" si="89"/>
        <v>-</v>
      </c>
      <c r="C737" t="s">
        <v>1694</v>
      </c>
      <c r="D737" s="2">
        <v>45856</v>
      </c>
      <c r="E737" t="str">
        <f t="shared" si="90"/>
        <v>July</v>
      </c>
      <c r="F737">
        <f t="shared" si="91"/>
        <v>2025</v>
      </c>
      <c r="G737" s="2">
        <v>45859</v>
      </c>
      <c r="H737" t="s">
        <v>1695</v>
      </c>
      <c r="I737">
        <f t="shared" si="92"/>
        <v>3</v>
      </c>
      <c r="J737" t="s">
        <v>2795</v>
      </c>
      <c r="K737" t="s">
        <v>114</v>
      </c>
      <c r="L737" t="s">
        <v>24</v>
      </c>
      <c r="M737" t="s">
        <v>38</v>
      </c>
      <c r="N737" t="s">
        <v>39</v>
      </c>
      <c r="O737" t="s">
        <v>40</v>
      </c>
      <c r="P737" t="s">
        <v>41</v>
      </c>
      <c r="Q737" t="s">
        <v>42</v>
      </c>
      <c r="R737" t="s">
        <v>1696</v>
      </c>
      <c r="S737" t="s">
        <v>31</v>
      </c>
      <c r="T737">
        <v>4</v>
      </c>
      <c r="U737">
        <v>284.04000000000002</v>
      </c>
      <c r="V737" s="4" t="str">
        <f>IF(ROUND(T719*U719, 2)=ROUND(X719, 2), 0, "Flag - Missing Value")</f>
        <v>Flag - Missing Value</v>
      </c>
      <c r="W737" s="4" t="s">
        <v>2794</v>
      </c>
      <c r="X737">
        <v>908.93</v>
      </c>
      <c r="Y737" s="4" t="str">
        <f t="shared" si="88"/>
        <v>Cannot Calculate</v>
      </c>
      <c r="Z737">
        <v>572.08000000000004</v>
      </c>
      <c r="AA737">
        <v>336.85</v>
      </c>
      <c r="AB737" s="4" t="str">
        <f t="shared" si="93"/>
        <v>Cannot Calculate</v>
      </c>
      <c r="AC737" s="9">
        <f t="shared" si="94"/>
        <v>0</v>
      </c>
      <c r="AD737" t="s">
        <v>32</v>
      </c>
      <c r="AE737" t="s">
        <v>33</v>
      </c>
      <c r="AF737" t="str">
        <f t="shared" si="95"/>
        <v>Calculation Blocked</v>
      </c>
    </row>
    <row r="738" spans="1:32">
      <c r="A738" t="str">
        <f>IF(OR(I738&lt;0, ISTEXT(W738), ISTEXT(Y738)), "Invalid", IF(OR(B738="Conflicting Duplicate", M738="Unknown", S738="Unknown"), "Warning", "Valid"))</f>
        <v>Valid</v>
      </c>
      <c r="B738" t="str">
        <f t="shared" si="89"/>
        <v>-</v>
      </c>
      <c r="C738" t="s">
        <v>1697</v>
      </c>
      <c r="D738" s="2">
        <v>45667</v>
      </c>
      <c r="E738" t="str">
        <f t="shared" si="90"/>
        <v>January</v>
      </c>
      <c r="F738">
        <f t="shared" si="91"/>
        <v>2025</v>
      </c>
      <c r="G738" s="2">
        <v>45935</v>
      </c>
      <c r="H738" t="s">
        <v>1698</v>
      </c>
      <c r="I738">
        <f t="shared" si="92"/>
        <v>268</v>
      </c>
      <c r="J738" t="s">
        <v>2795</v>
      </c>
      <c r="K738" t="s">
        <v>89</v>
      </c>
      <c r="L738" t="s">
        <v>95</v>
      </c>
      <c r="M738" t="s">
        <v>25</v>
      </c>
      <c r="N738" t="s">
        <v>236</v>
      </c>
      <c r="O738" t="s">
        <v>237</v>
      </c>
      <c r="P738" t="s">
        <v>28</v>
      </c>
      <c r="Q738" t="s">
        <v>29</v>
      </c>
      <c r="R738" t="s">
        <v>1699</v>
      </c>
      <c r="S738" t="s">
        <v>50</v>
      </c>
      <c r="T738">
        <v>5</v>
      </c>
      <c r="U738">
        <v>3247.56</v>
      </c>
      <c r="V738">
        <v>0.15</v>
      </c>
      <c r="W738">
        <v>0.15</v>
      </c>
      <c r="X738">
        <v>13802.13</v>
      </c>
      <c r="Y738">
        <f t="shared" si="88"/>
        <v>13802.13</v>
      </c>
      <c r="Z738">
        <v>10075.93</v>
      </c>
      <c r="AA738">
        <v>3726.2</v>
      </c>
      <c r="AB738">
        <f t="shared" si="93"/>
        <v>3726.1999999999989</v>
      </c>
      <c r="AC738" s="8">
        <f t="shared" si="94"/>
        <v>0.26997282303528508</v>
      </c>
      <c r="AD738" t="s">
        <v>32</v>
      </c>
      <c r="AE738" t="s">
        <v>33</v>
      </c>
      <c r="AF738" t="str">
        <f t="shared" si="95"/>
        <v>Perfect Match</v>
      </c>
    </row>
    <row r="739" spans="1:32">
      <c r="A739" t="str">
        <f>IF(OR(I739&lt;0, ISTEXT(W739), ISTEXT(Y739)), "Invalid", IF(OR(B739="Conflicting Duplicate", M739="Unknown", S739="Unknown"), "Warning", "Valid"))</f>
        <v>Valid</v>
      </c>
      <c r="B739" t="str">
        <f t="shared" si="89"/>
        <v>-</v>
      </c>
      <c r="C739" t="s">
        <v>1705</v>
      </c>
      <c r="D739" s="2">
        <v>45807</v>
      </c>
      <c r="E739" t="str">
        <f t="shared" si="90"/>
        <v>May</v>
      </c>
      <c r="F739">
        <f t="shared" si="91"/>
        <v>2025</v>
      </c>
      <c r="G739" s="2">
        <v>45809</v>
      </c>
      <c r="H739" t="s">
        <v>1706</v>
      </c>
      <c r="I739">
        <f t="shared" si="92"/>
        <v>2</v>
      </c>
      <c r="J739" t="s">
        <v>2795</v>
      </c>
      <c r="K739" t="s">
        <v>118</v>
      </c>
      <c r="L739" t="s">
        <v>95</v>
      </c>
      <c r="M739" t="s">
        <v>54</v>
      </c>
      <c r="N739" t="s">
        <v>247</v>
      </c>
      <c r="O739" t="s">
        <v>248</v>
      </c>
      <c r="P739" t="s">
        <v>28</v>
      </c>
      <c r="Q739" t="s">
        <v>153</v>
      </c>
      <c r="R739" t="s">
        <v>1707</v>
      </c>
      <c r="S739" t="s">
        <v>59</v>
      </c>
      <c r="T739">
        <v>9</v>
      </c>
      <c r="U739">
        <v>1994.51</v>
      </c>
      <c r="V739">
        <v>0.05</v>
      </c>
      <c r="W739">
        <v>0.05</v>
      </c>
      <c r="X739">
        <v>17053.060000000001</v>
      </c>
      <c r="Y739">
        <f t="shared" si="88"/>
        <v>17053.060000000001</v>
      </c>
      <c r="Z739">
        <v>10742.38</v>
      </c>
      <c r="AA739">
        <v>6310.68</v>
      </c>
      <c r="AB739">
        <f t="shared" si="93"/>
        <v>6310.6800000000021</v>
      </c>
      <c r="AC739" s="8">
        <f t="shared" si="94"/>
        <v>0.37006144351805492</v>
      </c>
      <c r="AD739" t="s">
        <v>32</v>
      </c>
      <c r="AE739" t="s">
        <v>33</v>
      </c>
      <c r="AF739" t="str">
        <f t="shared" si="95"/>
        <v>Perfect Match</v>
      </c>
    </row>
    <row r="740" spans="1:32">
      <c r="A740" t="str">
        <f>IF(OR(I740&lt;0, ISTEXT(W740), ISTEXT(Y740)), "Invalid", IF(OR(B740="Conflicting Duplicate", M740="Unknown", S740="Unknown"), "Warning", "Valid"))</f>
        <v>Valid</v>
      </c>
      <c r="B740" t="str">
        <f t="shared" si="89"/>
        <v>-</v>
      </c>
      <c r="C740" t="s">
        <v>1711</v>
      </c>
      <c r="D740" s="2">
        <v>45935</v>
      </c>
      <c r="E740" t="str">
        <f t="shared" si="90"/>
        <v>October</v>
      </c>
      <c r="F740">
        <f t="shared" si="91"/>
        <v>2025</v>
      </c>
      <c r="G740" s="2">
        <v>45940</v>
      </c>
      <c r="H740" t="s">
        <v>1712</v>
      </c>
      <c r="I740">
        <f t="shared" si="92"/>
        <v>5</v>
      </c>
      <c r="J740" t="s">
        <v>2795</v>
      </c>
      <c r="K740" t="s">
        <v>114</v>
      </c>
      <c r="L740" t="s">
        <v>90</v>
      </c>
      <c r="M740" t="s">
        <v>38</v>
      </c>
      <c r="N740" t="s">
        <v>166</v>
      </c>
      <c r="O740" t="s">
        <v>167</v>
      </c>
      <c r="P740" t="s">
        <v>41</v>
      </c>
      <c r="Q740" t="s">
        <v>42</v>
      </c>
      <c r="R740" t="s">
        <v>1713</v>
      </c>
      <c r="S740" t="s">
        <v>31</v>
      </c>
      <c r="T740">
        <v>9</v>
      </c>
      <c r="U740">
        <v>2089.14</v>
      </c>
      <c r="V740">
        <v>0.05</v>
      </c>
      <c r="W740">
        <v>0.05</v>
      </c>
      <c r="X740">
        <v>17862.150000000001</v>
      </c>
      <c r="Y740">
        <f t="shared" si="88"/>
        <v>17862.150000000001</v>
      </c>
      <c r="Z740">
        <v>9892.2099999999991</v>
      </c>
      <c r="AA740">
        <v>7969.94</v>
      </c>
      <c r="AB740">
        <f t="shared" si="93"/>
        <v>7969.9400000000023</v>
      </c>
      <c r="AC740" s="8">
        <f t="shared" si="94"/>
        <v>0.4461915278955782</v>
      </c>
      <c r="AD740" t="s">
        <v>155</v>
      </c>
      <c r="AE740" t="s">
        <v>68</v>
      </c>
      <c r="AF740" t="str">
        <f t="shared" si="95"/>
        <v>Perfect Match</v>
      </c>
    </row>
    <row r="741" spans="1:32">
      <c r="A741" t="str">
        <f>IF(OR(I741&lt;0, ISTEXT(W741), ISTEXT(Y741)), "Invalid", IF(OR(B741="Conflicting Duplicate", M741="Unknown", S741="Unknown"), "Warning", "Valid"))</f>
        <v>Valid</v>
      </c>
      <c r="B741" t="str">
        <f t="shared" si="89"/>
        <v>-</v>
      </c>
      <c r="C741" t="s">
        <v>1717</v>
      </c>
      <c r="D741" s="2">
        <v>45774</v>
      </c>
      <c r="E741" t="str">
        <f t="shared" si="90"/>
        <v>April</v>
      </c>
      <c r="F741">
        <f t="shared" si="91"/>
        <v>2025</v>
      </c>
      <c r="G741" s="2">
        <v>45782</v>
      </c>
      <c r="H741" t="s">
        <v>1718</v>
      </c>
      <c r="I741">
        <f t="shared" si="92"/>
        <v>8</v>
      </c>
      <c r="J741" t="s">
        <v>2795</v>
      </c>
      <c r="K741" t="s">
        <v>141</v>
      </c>
      <c r="L741" t="s">
        <v>95</v>
      </c>
      <c r="M741" t="s">
        <v>38</v>
      </c>
      <c r="N741" t="s">
        <v>145</v>
      </c>
      <c r="O741" t="s">
        <v>146</v>
      </c>
      <c r="P741" t="s">
        <v>74</v>
      </c>
      <c r="Q741" t="s">
        <v>75</v>
      </c>
      <c r="R741" t="s">
        <v>1719</v>
      </c>
      <c r="S741" t="s">
        <v>31</v>
      </c>
      <c r="T741">
        <v>4</v>
      </c>
      <c r="U741">
        <v>3963.39</v>
      </c>
      <c r="V741">
        <v>0.1</v>
      </c>
      <c r="W741">
        <v>0.1</v>
      </c>
      <c r="X741">
        <v>14268.2</v>
      </c>
      <c r="Y741">
        <f t="shared" si="88"/>
        <v>14268.2</v>
      </c>
      <c r="Z741">
        <v>11705.3</v>
      </c>
      <c r="AA741">
        <v>2562.9</v>
      </c>
      <c r="AB741">
        <f t="shared" si="93"/>
        <v>2562.9000000000015</v>
      </c>
      <c r="AC741" s="8">
        <f t="shared" si="94"/>
        <v>0.1796232180653482</v>
      </c>
      <c r="AD741" t="s">
        <v>111</v>
      </c>
      <c r="AE741" t="s">
        <v>103</v>
      </c>
      <c r="AF741" t="str">
        <f t="shared" si="95"/>
        <v>Perfect Match</v>
      </c>
    </row>
    <row r="742" spans="1:32">
      <c r="A742" t="str">
        <f>IF(OR(I742&lt;0, ISTEXT(W742), ISTEXT(Y742)), "Invalid", IF(OR(B742="Conflicting Duplicate", M742="Unknown", S742="Unknown"), "Warning", "Valid"))</f>
        <v>Valid</v>
      </c>
      <c r="B742" t="str">
        <f t="shared" si="89"/>
        <v>-</v>
      </c>
      <c r="C742" t="s">
        <v>1723</v>
      </c>
      <c r="D742" s="2">
        <v>45757</v>
      </c>
      <c r="E742" t="str">
        <f t="shared" si="90"/>
        <v>April</v>
      </c>
      <c r="F742">
        <f t="shared" si="91"/>
        <v>2025</v>
      </c>
      <c r="G742" s="2">
        <v>45764</v>
      </c>
      <c r="H742" t="s">
        <v>1724</v>
      </c>
      <c r="I742">
        <f t="shared" si="92"/>
        <v>7</v>
      </c>
      <c r="J742" t="s">
        <v>2795</v>
      </c>
      <c r="K742" t="s">
        <v>62</v>
      </c>
      <c r="L742" t="s">
        <v>37</v>
      </c>
      <c r="M742" t="s">
        <v>63</v>
      </c>
      <c r="N742" t="s">
        <v>26</v>
      </c>
      <c r="O742" t="s">
        <v>109</v>
      </c>
      <c r="P742" t="s">
        <v>41</v>
      </c>
      <c r="Q742" t="s">
        <v>66</v>
      </c>
      <c r="R742" t="s">
        <v>1725</v>
      </c>
      <c r="S742" t="s">
        <v>50</v>
      </c>
      <c r="T742">
        <v>7</v>
      </c>
      <c r="U742">
        <v>3788.9</v>
      </c>
      <c r="V742">
        <v>0.25</v>
      </c>
      <c r="W742">
        <v>0.25</v>
      </c>
      <c r="X742">
        <v>19891.72</v>
      </c>
      <c r="Y742">
        <f t="shared" si="88"/>
        <v>19891.73</v>
      </c>
      <c r="Z742">
        <v>12295.76</v>
      </c>
      <c r="AA742">
        <v>7595.96</v>
      </c>
      <c r="AB742">
        <f t="shared" si="93"/>
        <v>7595.9699999999993</v>
      </c>
      <c r="AC742" s="8">
        <f t="shared" si="94"/>
        <v>0.38186573013005903</v>
      </c>
      <c r="AD742" t="s">
        <v>155</v>
      </c>
      <c r="AE742" t="s">
        <v>68</v>
      </c>
      <c r="AF742" t="str">
        <f t="shared" si="95"/>
        <v>Mismatch Found</v>
      </c>
    </row>
    <row r="743" spans="1:32">
      <c r="A743" t="str">
        <f>IF(OR(I743&lt;0, ISTEXT(W743), ISTEXT(Y743)), "Invalid", IF(OR(B743="Conflicting Duplicate", M743="Unknown", S743="Unknown"), "Warning", "Valid"))</f>
        <v>Valid</v>
      </c>
      <c r="B743" t="str">
        <f t="shared" si="89"/>
        <v>-</v>
      </c>
      <c r="C743" t="s">
        <v>1732</v>
      </c>
      <c r="D743" s="2">
        <v>45842</v>
      </c>
      <c r="E743" t="str">
        <f t="shared" si="90"/>
        <v>July</v>
      </c>
      <c r="F743">
        <f t="shared" si="91"/>
        <v>2025</v>
      </c>
      <c r="G743" s="2">
        <v>45842</v>
      </c>
      <c r="H743" t="s">
        <v>1733</v>
      </c>
      <c r="I743">
        <f t="shared" si="92"/>
        <v>0</v>
      </c>
      <c r="J743" t="s">
        <v>2795</v>
      </c>
      <c r="K743" t="s">
        <v>36</v>
      </c>
      <c r="L743" t="s">
        <v>37</v>
      </c>
      <c r="M743" t="s">
        <v>54</v>
      </c>
      <c r="N743" t="s">
        <v>247</v>
      </c>
      <c r="O743" t="s">
        <v>248</v>
      </c>
      <c r="P743" t="s">
        <v>41</v>
      </c>
      <c r="Q743" t="s">
        <v>66</v>
      </c>
      <c r="R743" t="s">
        <v>1734</v>
      </c>
      <c r="S743" t="s">
        <v>59</v>
      </c>
      <c r="T743">
        <v>3</v>
      </c>
      <c r="U743">
        <v>705.35</v>
      </c>
      <c r="V743">
        <v>0.1</v>
      </c>
      <c r="W743">
        <v>0.1</v>
      </c>
      <c r="X743">
        <v>1904.45</v>
      </c>
      <c r="Y743">
        <f t="shared" si="88"/>
        <v>1904.45</v>
      </c>
      <c r="Z743">
        <v>1316.54</v>
      </c>
      <c r="AA743">
        <v>587.91</v>
      </c>
      <c r="AB743">
        <f t="shared" si="93"/>
        <v>587.91000000000008</v>
      </c>
      <c r="AC743" s="8">
        <f t="shared" si="94"/>
        <v>0.30870330016540209</v>
      </c>
      <c r="AD743" t="s">
        <v>32</v>
      </c>
      <c r="AE743" t="s">
        <v>68</v>
      </c>
      <c r="AF743" t="str">
        <f t="shared" si="95"/>
        <v>Perfect Match</v>
      </c>
    </row>
    <row r="744" spans="1:32">
      <c r="A744" s="6" t="str">
        <f>IF(OR(I744&lt;0, ISTEXT(W744), ISTEXT(Y744)), "Invalid", IF(OR(B744="Conflicting Duplicate", M744="Unknown", S744="Unknown"), "Warning", "Valid"))</f>
        <v>Invalid</v>
      </c>
      <c r="B744" t="str">
        <f t="shared" si="89"/>
        <v>-</v>
      </c>
      <c r="C744" t="s">
        <v>1738</v>
      </c>
      <c r="D744" s="2">
        <v>45876</v>
      </c>
      <c r="E744" t="str">
        <f t="shared" si="90"/>
        <v>August</v>
      </c>
      <c r="F744">
        <f t="shared" si="91"/>
        <v>2025</v>
      </c>
      <c r="G744" s="2">
        <v>45847</v>
      </c>
      <c r="H744" t="s">
        <v>1739</v>
      </c>
      <c r="I744" s="7">
        <f t="shared" si="92"/>
        <v>-29</v>
      </c>
      <c r="J744" s="7" t="s">
        <v>2802</v>
      </c>
      <c r="K744" t="s">
        <v>132</v>
      </c>
      <c r="L744" t="s">
        <v>24</v>
      </c>
      <c r="M744" t="s">
        <v>63</v>
      </c>
      <c r="N744" t="s">
        <v>64</v>
      </c>
      <c r="O744" t="s">
        <v>65</v>
      </c>
      <c r="P744" t="s">
        <v>74</v>
      </c>
      <c r="Q744" t="s">
        <v>80</v>
      </c>
      <c r="R744" t="s">
        <v>1740</v>
      </c>
      <c r="S744" t="s">
        <v>44</v>
      </c>
      <c r="T744">
        <v>3</v>
      </c>
      <c r="U744">
        <v>2880.56</v>
      </c>
      <c r="V744">
        <v>0</v>
      </c>
      <c r="W744">
        <v>0</v>
      </c>
      <c r="X744">
        <v>8641.68</v>
      </c>
      <c r="Y744">
        <f t="shared" si="88"/>
        <v>8641.68</v>
      </c>
      <c r="Z744">
        <v>5747.09</v>
      </c>
      <c r="AA744">
        <v>2894.59</v>
      </c>
      <c r="AB744">
        <f t="shared" si="93"/>
        <v>2894.59</v>
      </c>
      <c r="AC744" s="8">
        <f t="shared" si="94"/>
        <v>0.33495686024013849</v>
      </c>
      <c r="AD744" t="s">
        <v>32</v>
      </c>
      <c r="AE744" t="s">
        <v>103</v>
      </c>
      <c r="AF744" t="str">
        <f t="shared" si="95"/>
        <v>Perfect Match</v>
      </c>
    </row>
    <row r="745" spans="1:32">
      <c r="A745" t="str">
        <f>IF(OR(I745&lt;0, ISTEXT(W745), ISTEXT(Y745)), "Invalid", IF(OR(B745="Conflicting Duplicate", M745="Unknown", S745="Unknown"), "Warning", "Valid"))</f>
        <v>Valid</v>
      </c>
      <c r="B745" t="str">
        <f t="shared" si="89"/>
        <v>-</v>
      </c>
      <c r="C745" t="s">
        <v>1748</v>
      </c>
      <c r="D745" s="2">
        <v>45686</v>
      </c>
      <c r="E745" t="str">
        <f t="shared" si="90"/>
        <v>January</v>
      </c>
      <c r="F745">
        <f t="shared" si="91"/>
        <v>2025</v>
      </c>
      <c r="G745" s="2">
        <v>45693</v>
      </c>
      <c r="H745" t="s">
        <v>1749</v>
      </c>
      <c r="I745">
        <f t="shared" si="92"/>
        <v>7</v>
      </c>
      <c r="J745" t="s">
        <v>2795</v>
      </c>
      <c r="K745" t="s">
        <v>62</v>
      </c>
      <c r="L745" t="s">
        <v>24</v>
      </c>
      <c r="M745" t="s">
        <v>54</v>
      </c>
      <c r="N745" t="s">
        <v>185</v>
      </c>
      <c r="O745" t="s">
        <v>186</v>
      </c>
      <c r="P745" t="s">
        <v>28</v>
      </c>
      <c r="Q745" t="s">
        <v>48</v>
      </c>
      <c r="R745" t="s">
        <v>1750</v>
      </c>
      <c r="S745" t="s">
        <v>44</v>
      </c>
      <c r="T745">
        <v>8</v>
      </c>
      <c r="U745">
        <v>3643.62</v>
      </c>
      <c r="V745">
        <v>0.25</v>
      </c>
      <c r="W745">
        <v>0.25</v>
      </c>
      <c r="X745">
        <v>21861.72</v>
      </c>
      <c r="Y745">
        <f t="shared" si="88"/>
        <v>21861.72</v>
      </c>
      <c r="Z745">
        <v>18464.34</v>
      </c>
      <c r="AA745">
        <v>3397.38</v>
      </c>
      <c r="AB745">
        <f t="shared" si="93"/>
        <v>3397.380000000001</v>
      </c>
      <c r="AC745" s="8">
        <f t="shared" si="94"/>
        <v>0.1554031430280875</v>
      </c>
      <c r="AD745" t="s">
        <v>32</v>
      </c>
      <c r="AE745" t="s">
        <v>68</v>
      </c>
      <c r="AF745" t="str">
        <f t="shared" si="95"/>
        <v>Perfect Match</v>
      </c>
    </row>
    <row r="746" spans="1:32">
      <c r="A746" t="str">
        <f>IF(OR(I746&lt;0, ISTEXT(W746), ISTEXT(Y746)), "Invalid", IF(OR(B746="Conflicting Duplicate", M746="Unknown", S746="Unknown"), "Warning", "Valid"))</f>
        <v>Valid</v>
      </c>
      <c r="B746" t="str">
        <f t="shared" si="89"/>
        <v>-</v>
      </c>
      <c r="C746" t="s">
        <v>1754</v>
      </c>
      <c r="D746" s="2">
        <v>45883</v>
      </c>
      <c r="E746" t="str">
        <f t="shared" si="90"/>
        <v>August</v>
      </c>
      <c r="F746">
        <f t="shared" si="91"/>
        <v>2025</v>
      </c>
      <c r="G746" s="2">
        <v>45891</v>
      </c>
      <c r="H746" t="s">
        <v>1755</v>
      </c>
      <c r="I746">
        <f t="shared" si="92"/>
        <v>8</v>
      </c>
      <c r="J746" t="s">
        <v>2795</v>
      </c>
      <c r="K746" t="s">
        <v>53</v>
      </c>
      <c r="L746" t="s">
        <v>90</v>
      </c>
      <c r="M746" t="s">
        <v>63</v>
      </c>
      <c r="N746" t="s">
        <v>180</v>
      </c>
      <c r="O746" t="s">
        <v>181</v>
      </c>
      <c r="P746" t="s">
        <v>1756</v>
      </c>
      <c r="Q746" t="s">
        <v>29</v>
      </c>
      <c r="R746" t="s">
        <v>1757</v>
      </c>
      <c r="S746" t="s">
        <v>50</v>
      </c>
      <c r="T746">
        <v>5</v>
      </c>
      <c r="U746">
        <v>2567.37</v>
      </c>
      <c r="V746">
        <v>0.15</v>
      </c>
      <c r="W746">
        <v>0.15</v>
      </c>
      <c r="X746">
        <v>10911.32</v>
      </c>
      <c r="Y746">
        <f t="shared" si="88"/>
        <v>10911.32</v>
      </c>
      <c r="Z746">
        <v>6966.44</v>
      </c>
      <c r="AA746">
        <v>4395.17</v>
      </c>
      <c r="AB746">
        <f t="shared" si="93"/>
        <v>3944.88</v>
      </c>
      <c r="AC746" s="8">
        <f t="shared" si="94"/>
        <v>0.3615401253010635</v>
      </c>
      <c r="AD746" t="s">
        <v>32</v>
      </c>
      <c r="AE746" t="s">
        <v>33</v>
      </c>
      <c r="AF746" t="str">
        <f t="shared" si="95"/>
        <v>Mismatch Found</v>
      </c>
    </row>
    <row r="747" spans="1:32">
      <c r="A747" t="str">
        <f>IF(OR(I747&lt;0, ISTEXT(W747), ISTEXT(Y747)), "Invalid", IF(OR(B747="Conflicting Duplicate", M747="Unknown", S747="Unknown"), "Warning", "Valid"))</f>
        <v>Valid</v>
      </c>
      <c r="B747" t="str">
        <f t="shared" si="89"/>
        <v>-</v>
      </c>
      <c r="C747" t="s">
        <v>1764</v>
      </c>
      <c r="D747" s="2">
        <v>45941</v>
      </c>
      <c r="E747" t="str">
        <f t="shared" si="90"/>
        <v>October</v>
      </c>
      <c r="F747">
        <f t="shared" si="91"/>
        <v>2025</v>
      </c>
      <c r="G747" s="2">
        <v>45943</v>
      </c>
      <c r="H747" t="s">
        <v>1765</v>
      </c>
      <c r="I747">
        <f t="shared" si="92"/>
        <v>2</v>
      </c>
      <c r="J747" t="s">
        <v>2795</v>
      </c>
      <c r="K747" t="s">
        <v>36</v>
      </c>
      <c r="L747" t="s">
        <v>90</v>
      </c>
      <c r="M747" t="s">
        <v>54</v>
      </c>
      <c r="N747" t="s">
        <v>55</v>
      </c>
      <c r="O747" t="s">
        <v>56</v>
      </c>
      <c r="P747" t="s">
        <v>28</v>
      </c>
      <c r="Q747" t="s">
        <v>48</v>
      </c>
      <c r="R747" t="s">
        <v>1766</v>
      </c>
      <c r="S747" t="s">
        <v>31</v>
      </c>
      <c r="T747">
        <v>3</v>
      </c>
      <c r="U747">
        <v>3804.27</v>
      </c>
      <c r="V747">
        <v>0.1</v>
      </c>
      <c r="W747">
        <v>0.1</v>
      </c>
      <c r="X747">
        <v>10271.530000000001</v>
      </c>
      <c r="Y747">
        <f t="shared" si="88"/>
        <v>10271.530000000001</v>
      </c>
      <c r="Z747">
        <v>8272.24</v>
      </c>
      <c r="AA747">
        <v>1999.29</v>
      </c>
      <c r="AB747">
        <f t="shared" si="93"/>
        <v>1999.2900000000009</v>
      </c>
      <c r="AC747" s="8">
        <f t="shared" si="94"/>
        <v>0.19464383592317802</v>
      </c>
      <c r="AD747" t="s">
        <v>32</v>
      </c>
      <c r="AE747" t="s">
        <v>33</v>
      </c>
      <c r="AF747" t="str">
        <f t="shared" si="95"/>
        <v>Perfect Match</v>
      </c>
    </row>
    <row r="748" spans="1:32">
      <c r="A748" s="6" t="str">
        <f>IF(OR(I748&lt;0, ISTEXT(W748), ISTEXT(Y748)), "Invalid", IF(OR(B748="Conflicting Duplicate", M748="Unknown", S748="Unknown"), "Warning", "Valid"))</f>
        <v>Invalid</v>
      </c>
      <c r="B748" t="str">
        <f t="shared" si="89"/>
        <v>-</v>
      </c>
      <c r="C748" t="s">
        <v>1773</v>
      </c>
      <c r="D748" s="2">
        <v>45681</v>
      </c>
      <c r="E748" t="str">
        <f t="shared" si="90"/>
        <v>January</v>
      </c>
      <c r="F748">
        <f t="shared" si="91"/>
        <v>2025</v>
      </c>
      <c r="G748" s="2">
        <v>45687</v>
      </c>
      <c r="H748" t="s">
        <v>1774</v>
      </c>
      <c r="I748">
        <f t="shared" si="92"/>
        <v>6</v>
      </c>
      <c r="J748" t="s">
        <v>2795</v>
      </c>
      <c r="K748" t="s">
        <v>62</v>
      </c>
      <c r="L748" t="s">
        <v>90</v>
      </c>
      <c r="M748" t="s">
        <v>38</v>
      </c>
      <c r="N748" t="s">
        <v>99</v>
      </c>
      <c r="O748" t="s">
        <v>100</v>
      </c>
      <c r="P748" t="s">
        <v>74</v>
      </c>
      <c r="Q748" t="s">
        <v>80</v>
      </c>
      <c r="R748" t="s">
        <v>1775</v>
      </c>
      <c r="S748" t="s">
        <v>59</v>
      </c>
      <c r="T748">
        <v>8</v>
      </c>
      <c r="U748">
        <v>312.52999999999997</v>
      </c>
      <c r="V748" s="5">
        <v>0.7</v>
      </c>
      <c r="W748" s="4" t="s">
        <v>2794</v>
      </c>
      <c r="X748">
        <v>1875.18</v>
      </c>
      <c r="Y748" s="4" t="str">
        <f t="shared" si="88"/>
        <v>Cannot Calculate</v>
      </c>
      <c r="Z748">
        <v>1579.17</v>
      </c>
      <c r="AA748">
        <v>296.01</v>
      </c>
      <c r="AB748" s="4" t="str">
        <f t="shared" si="93"/>
        <v>Cannot Calculate</v>
      </c>
      <c r="AC748" s="9">
        <f t="shared" si="94"/>
        <v>0</v>
      </c>
      <c r="AD748" t="s">
        <v>32</v>
      </c>
      <c r="AE748" t="s">
        <v>33</v>
      </c>
      <c r="AF748" t="str">
        <f t="shared" si="95"/>
        <v>Calculation Blocked</v>
      </c>
    </row>
    <row r="749" spans="1:32">
      <c r="A749" t="str">
        <f>IF(OR(I749&lt;0, ISTEXT(W749), ISTEXT(Y749)), "Invalid", IF(OR(B749="Conflicting Duplicate", M749="Unknown", S749="Unknown"), "Warning", "Valid"))</f>
        <v>Valid</v>
      </c>
      <c r="B749" t="str">
        <f t="shared" si="89"/>
        <v>-</v>
      </c>
      <c r="C749" t="s">
        <v>1776</v>
      </c>
      <c r="D749" s="2">
        <v>45772</v>
      </c>
      <c r="E749" t="str">
        <f t="shared" si="90"/>
        <v>April</v>
      </c>
      <c r="F749">
        <f t="shared" si="91"/>
        <v>2025</v>
      </c>
      <c r="G749" s="2">
        <v>45775</v>
      </c>
      <c r="H749" t="s">
        <v>1777</v>
      </c>
      <c r="I749">
        <f t="shared" si="92"/>
        <v>3</v>
      </c>
      <c r="J749" t="s">
        <v>2795</v>
      </c>
      <c r="K749" t="s">
        <v>128</v>
      </c>
      <c r="L749" t="s">
        <v>37</v>
      </c>
      <c r="M749" t="s">
        <v>63</v>
      </c>
      <c r="N749" t="s">
        <v>180</v>
      </c>
      <c r="O749" t="s">
        <v>181</v>
      </c>
      <c r="P749" t="s">
        <v>28</v>
      </c>
      <c r="Q749" t="s">
        <v>124</v>
      </c>
      <c r="R749" t="s">
        <v>1778</v>
      </c>
      <c r="S749" t="s">
        <v>50</v>
      </c>
      <c r="T749">
        <v>9</v>
      </c>
      <c r="U749">
        <v>1294.1099999999999</v>
      </c>
      <c r="V749">
        <v>0.25</v>
      </c>
      <c r="W749">
        <v>0.25</v>
      </c>
      <c r="X749">
        <v>8735.24</v>
      </c>
      <c r="Y749">
        <f t="shared" si="88"/>
        <v>8735.24</v>
      </c>
      <c r="Z749">
        <v>6620.07</v>
      </c>
      <c r="AA749">
        <v>2115.17</v>
      </c>
      <c r="AB749">
        <f t="shared" si="93"/>
        <v>2115.17</v>
      </c>
      <c r="AC749" s="8">
        <f t="shared" si="94"/>
        <v>0.24214217354073844</v>
      </c>
      <c r="AD749" t="s">
        <v>32</v>
      </c>
      <c r="AE749" t="s">
        <v>33</v>
      </c>
      <c r="AF749" t="str">
        <f t="shared" si="95"/>
        <v>Perfect Match</v>
      </c>
    </row>
    <row r="750" spans="1:32">
      <c r="A750" s="6" t="str">
        <f>IF(OR(I750&lt;0, ISTEXT(W750), ISTEXT(Y750)), "Invalid", IF(OR(B750="Conflicting Duplicate", M750="Unknown", S750="Unknown"), "Warning", "Valid"))</f>
        <v>Invalid</v>
      </c>
      <c r="B750" t="str">
        <f t="shared" si="89"/>
        <v>-</v>
      </c>
      <c r="C750" t="s">
        <v>1782</v>
      </c>
      <c r="D750" s="2">
        <v>45749</v>
      </c>
      <c r="E750" t="str">
        <f t="shared" si="90"/>
        <v>April</v>
      </c>
      <c r="F750">
        <f t="shared" si="91"/>
        <v>2025</v>
      </c>
      <c r="G750" s="2">
        <v>45698</v>
      </c>
      <c r="H750" t="s">
        <v>1783</v>
      </c>
      <c r="I750" s="7">
        <f t="shared" si="92"/>
        <v>-51</v>
      </c>
      <c r="J750" s="7" t="s">
        <v>2802</v>
      </c>
      <c r="K750" t="s">
        <v>62</v>
      </c>
      <c r="L750" t="s">
        <v>37</v>
      </c>
      <c r="M750" t="s">
        <v>54</v>
      </c>
      <c r="N750" t="s">
        <v>55</v>
      </c>
      <c r="O750" t="s">
        <v>56</v>
      </c>
      <c r="P750" t="s">
        <v>28</v>
      </c>
      <c r="Q750" t="s">
        <v>124</v>
      </c>
      <c r="R750" t="s">
        <v>1784</v>
      </c>
      <c r="S750" t="s">
        <v>59</v>
      </c>
      <c r="T750">
        <v>6</v>
      </c>
      <c r="U750">
        <v>1042.8</v>
      </c>
      <c r="V750">
        <v>0.05</v>
      </c>
      <c r="W750">
        <v>0.05</v>
      </c>
      <c r="X750">
        <v>5943.96</v>
      </c>
      <c r="Y750">
        <f t="shared" si="88"/>
        <v>5943.96</v>
      </c>
      <c r="Z750">
        <v>3604.14</v>
      </c>
      <c r="AA750">
        <v>2339.8200000000002</v>
      </c>
      <c r="AB750">
        <f t="shared" si="93"/>
        <v>2339.8200000000002</v>
      </c>
      <c r="AC750" s="8">
        <f t="shared" si="94"/>
        <v>0.39364665980255592</v>
      </c>
      <c r="AD750" t="s">
        <v>32</v>
      </c>
      <c r="AE750" t="s">
        <v>33</v>
      </c>
      <c r="AF750" t="str">
        <f t="shared" si="95"/>
        <v>Perfect Match</v>
      </c>
    </row>
    <row r="751" spans="1:32">
      <c r="A751" t="str">
        <f>IF(OR(I751&lt;0, ISTEXT(W751), ISTEXT(Y751)), "Invalid", IF(OR(B751="Conflicting Duplicate", M751="Unknown", S751="Unknown"), "Warning", "Valid"))</f>
        <v>Valid</v>
      </c>
      <c r="B751" t="str">
        <f t="shared" si="89"/>
        <v>-</v>
      </c>
      <c r="C751" t="s">
        <v>1791</v>
      </c>
      <c r="D751" s="2">
        <v>45904</v>
      </c>
      <c r="E751" t="str">
        <f t="shared" si="90"/>
        <v>September</v>
      </c>
      <c r="F751">
        <f t="shared" si="91"/>
        <v>2025</v>
      </c>
      <c r="G751" s="2">
        <v>45904</v>
      </c>
      <c r="H751" t="s">
        <v>1792</v>
      </c>
      <c r="I751">
        <f t="shared" si="92"/>
        <v>0</v>
      </c>
      <c r="J751" t="s">
        <v>2795</v>
      </c>
      <c r="K751" t="s">
        <v>89</v>
      </c>
      <c r="L751" t="s">
        <v>90</v>
      </c>
      <c r="M751" t="s">
        <v>25</v>
      </c>
      <c r="N751" t="s">
        <v>122</v>
      </c>
      <c r="O751" t="s">
        <v>123</v>
      </c>
      <c r="P751" t="s">
        <v>74</v>
      </c>
      <c r="Q751" t="s">
        <v>274</v>
      </c>
      <c r="R751" t="s">
        <v>1793</v>
      </c>
      <c r="S751" t="s">
        <v>50</v>
      </c>
      <c r="T751">
        <v>8</v>
      </c>
      <c r="U751">
        <v>3079.95</v>
      </c>
      <c r="V751">
        <v>0.2</v>
      </c>
      <c r="W751">
        <v>0.2</v>
      </c>
      <c r="X751">
        <v>19711.68</v>
      </c>
      <c r="Y751">
        <f t="shared" si="88"/>
        <v>19711.68</v>
      </c>
      <c r="Z751">
        <v>14461.8</v>
      </c>
      <c r="AA751">
        <v>5249.88</v>
      </c>
      <c r="AB751">
        <f t="shared" si="93"/>
        <v>5249.880000000001</v>
      </c>
      <c r="AC751" s="8">
        <f t="shared" si="94"/>
        <v>0.26633346320557155</v>
      </c>
      <c r="AD751" t="s">
        <v>32</v>
      </c>
      <c r="AE751" t="s">
        <v>33</v>
      </c>
      <c r="AF751" t="str">
        <f t="shared" si="95"/>
        <v>Perfect Match</v>
      </c>
    </row>
    <row r="752" spans="1:32">
      <c r="A752" t="str">
        <f>IF(OR(I752&lt;0, ISTEXT(W752), ISTEXT(Y752)), "Invalid", IF(OR(B752="Conflicting Duplicate", M752="Unknown", S752="Unknown"), "Warning", "Valid"))</f>
        <v>Valid</v>
      </c>
      <c r="B752" t="str">
        <f t="shared" si="89"/>
        <v>-</v>
      </c>
      <c r="C752" t="s">
        <v>1794</v>
      </c>
      <c r="D752" s="2">
        <v>45930</v>
      </c>
      <c r="E752" t="str">
        <f t="shared" si="90"/>
        <v>September</v>
      </c>
      <c r="F752">
        <f t="shared" si="91"/>
        <v>2025</v>
      </c>
      <c r="G752" s="2">
        <v>45937</v>
      </c>
      <c r="H752" t="s">
        <v>1795</v>
      </c>
      <c r="I752">
        <f t="shared" si="92"/>
        <v>7</v>
      </c>
      <c r="J752" t="s">
        <v>2795</v>
      </c>
      <c r="K752" t="s">
        <v>162</v>
      </c>
      <c r="L752" t="s">
        <v>90</v>
      </c>
      <c r="M752" t="s">
        <v>38</v>
      </c>
      <c r="N752" t="s">
        <v>145</v>
      </c>
      <c r="O752" t="s">
        <v>146</v>
      </c>
      <c r="P752" t="s">
        <v>74</v>
      </c>
      <c r="Q752" t="s">
        <v>80</v>
      </c>
      <c r="R752" t="s">
        <v>1796</v>
      </c>
      <c r="S752" t="s">
        <v>31</v>
      </c>
      <c r="T752">
        <v>5</v>
      </c>
      <c r="U752">
        <v>3277.82</v>
      </c>
      <c r="V752">
        <v>0.1</v>
      </c>
      <c r="W752">
        <v>0.1</v>
      </c>
      <c r="X752">
        <v>14750.19</v>
      </c>
      <c r="Y752">
        <f t="shared" si="88"/>
        <v>14750.19</v>
      </c>
      <c r="Z752">
        <v>9482.58</v>
      </c>
      <c r="AA752">
        <v>5267.61</v>
      </c>
      <c r="AB752">
        <f t="shared" si="93"/>
        <v>5267.6100000000006</v>
      </c>
      <c r="AC752" s="8">
        <f t="shared" si="94"/>
        <v>0.35712150148574362</v>
      </c>
      <c r="AD752" t="s">
        <v>32</v>
      </c>
      <c r="AE752" t="s">
        <v>103</v>
      </c>
      <c r="AF752" t="str">
        <f t="shared" si="95"/>
        <v>Perfect Match</v>
      </c>
    </row>
    <row r="753" spans="1:32">
      <c r="A753" t="str">
        <f>IF(OR(I753&lt;0, ISTEXT(W753), ISTEXT(Y753)), "Invalid", IF(OR(B753="Conflicting Duplicate", M753="Unknown", S753="Unknown"), "Warning", "Valid"))</f>
        <v>Valid</v>
      </c>
      <c r="B753" t="str">
        <f t="shared" si="89"/>
        <v>-</v>
      </c>
      <c r="C753" t="s">
        <v>1800</v>
      </c>
      <c r="D753" s="2">
        <v>45852</v>
      </c>
      <c r="E753" t="str">
        <f t="shared" si="90"/>
        <v>July</v>
      </c>
      <c r="F753">
        <f t="shared" si="91"/>
        <v>2025</v>
      </c>
      <c r="G753" s="2">
        <v>45856</v>
      </c>
      <c r="H753" t="s">
        <v>1801</v>
      </c>
      <c r="I753">
        <f t="shared" si="92"/>
        <v>4</v>
      </c>
      <c r="J753" t="s">
        <v>2795</v>
      </c>
      <c r="K753" t="s">
        <v>89</v>
      </c>
      <c r="L753" t="s">
        <v>24</v>
      </c>
      <c r="M753" t="s">
        <v>25</v>
      </c>
      <c r="N753" t="s">
        <v>122</v>
      </c>
      <c r="O753" t="s">
        <v>123</v>
      </c>
      <c r="P753" t="s">
        <v>74</v>
      </c>
      <c r="Q753" t="s">
        <v>80</v>
      </c>
      <c r="R753" t="s">
        <v>1802</v>
      </c>
      <c r="S753" t="s">
        <v>50</v>
      </c>
      <c r="T753">
        <v>4</v>
      </c>
      <c r="U753">
        <v>725.22</v>
      </c>
      <c r="V753">
        <v>0</v>
      </c>
      <c r="W753">
        <v>0</v>
      </c>
      <c r="X753">
        <v>2900.88</v>
      </c>
      <c r="Y753">
        <f t="shared" si="88"/>
        <v>2900.88</v>
      </c>
      <c r="Z753">
        <v>2391.85</v>
      </c>
      <c r="AA753">
        <v>509.03</v>
      </c>
      <c r="AB753">
        <f t="shared" si="93"/>
        <v>509.0300000000002</v>
      </c>
      <c r="AC753" s="8">
        <f t="shared" si="94"/>
        <v>0.17547433882132324</v>
      </c>
      <c r="AD753" t="s">
        <v>111</v>
      </c>
      <c r="AE753" t="s">
        <v>103</v>
      </c>
      <c r="AF753" t="str">
        <f t="shared" si="95"/>
        <v>Perfect Match</v>
      </c>
    </row>
    <row r="754" spans="1:32">
      <c r="A754" t="str">
        <f>IF(OR(I754&lt;0, ISTEXT(W754), ISTEXT(Y754)), "Invalid", IF(OR(B754="Conflicting Duplicate", M754="Unknown", S754="Unknown"), "Warning", "Valid"))</f>
        <v>Valid</v>
      </c>
      <c r="B754" t="str">
        <f t="shared" si="89"/>
        <v>-</v>
      </c>
      <c r="C754" t="s">
        <v>1812</v>
      </c>
      <c r="D754" s="2">
        <v>45876</v>
      </c>
      <c r="E754" t="str">
        <f t="shared" si="90"/>
        <v>August</v>
      </c>
      <c r="F754">
        <f t="shared" si="91"/>
        <v>2025</v>
      </c>
      <c r="G754" s="2">
        <v>45882</v>
      </c>
      <c r="H754" t="s">
        <v>1813</v>
      </c>
      <c r="I754">
        <f t="shared" si="92"/>
        <v>6</v>
      </c>
      <c r="J754" t="s">
        <v>2795</v>
      </c>
      <c r="K754" t="s">
        <v>36</v>
      </c>
      <c r="L754" t="s">
        <v>90</v>
      </c>
      <c r="M754" t="s">
        <v>25</v>
      </c>
      <c r="N754" t="s">
        <v>350</v>
      </c>
      <c r="O754" t="s">
        <v>351</v>
      </c>
      <c r="P754" t="s">
        <v>74</v>
      </c>
      <c r="Q754" t="s">
        <v>171</v>
      </c>
      <c r="R754" t="s">
        <v>1814</v>
      </c>
      <c r="S754" t="s">
        <v>59</v>
      </c>
      <c r="T754">
        <v>6</v>
      </c>
      <c r="U754">
        <v>1921.86</v>
      </c>
      <c r="V754">
        <v>0.2</v>
      </c>
      <c r="W754">
        <v>0.2</v>
      </c>
      <c r="X754">
        <v>9224.93</v>
      </c>
      <c r="Y754">
        <f t="shared" si="88"/>
        <v>9224.93</v>
      </c>
      <c r="Z754">
        <v>7005.2</v>
      </c>
      <c r="AA754">
        <v>2219.73</v>
      </c>
      <c r="AB754">
        <f t="shared" si="93"/>
        <v>2219.7300000000005</v>
      </c>
      <c r="AC754" s="8">
        <f t="shared" si="94"/>
        <v>0.24062296407669223</v>
      </c>
      <c r="AD754" t="s">
        <v>102</v>
      </c>
      <c r="AE754" t="s">
        <v>68</v>
      </c>
      <c r="AF754" t="str">
        <f t="shared" si="95"/>
        <v>Perfect Match</v>
      </c>
    </row>
    <row r="755" spans="1:32">
      <c r="A755" t="str">
        <f>IF(OR(I755&lt;0, ISTEXT(W755), ISTEXT(Y755)), "Invalid", IF(OR(B755="Conflicting Duplicate", M755="Unknown", S755="Unknown"), "Warning", "Valid"))</f>
        <v>Valid</v>
      </c>
      <c r="B755" t="str">
        <f t="shared" si="89"/>
        <v>-</v>
      </c>
      <c r="C755" t="s">
        <v>1823</v>
      </c>
      <c r="D755" s="2">
        <v>45908</v>
      </c>
      <c r="E755" t="str">
        <f t="shared" si="90"/>
        <v>September</v>
      </c>
      <c r="F755">
        <f t="shared" si="91"/>
        <v>2025</v>
      </c>
      <c r="G755" s="2">
        <v>45910</v>
      </c>
      <c r="H755" t="s">
        <v>1824</v>
      </c>
      <c r="I755">
        <f t="shared" si="92"/>
        <v>2</v>
      </c>
      <c r="J755" t="s">
        <v>2795</v>
      </c>
      <c r="K755" t="s">
        <v>118</v>
      </c>
      <c r="L755" t="s">
        <v>95</v>
      </c>
      <c r="M755" t="s">
        <v>63</v>
      </c>
      <c r="N755" t="s">
        <v>64</v>
      </c>
      <c r="O755" t="s">
        <v>65</v>
      </c>
      <c r="P755" t="s">
        <v>41</v>
      </c>
      <c r="Q755" t="s">
        <v>57</v>
      </c>
      <c r="R755" t="s">
        <v>1825</v>
      </c>
      <c r="S755" t="s">
        <v>59</v>
      </c>
      <c r="T755">
        <v>6</v>
      </c>
      <c r="U755">
        <v>3251.17</v>
      </c>
      <c r="V755">
        <v>0.25</v>
      </c>
      <c r="W755">
        <v>0.25</v>
      </c>
      <c r="X755">
        <v>14630.26</v>
      </c>
      <c r="Y755">
        <f t="shared" si="88"/>
        <v>14630.27</v>
      </c>
      <c r="Z755">
        <v>11906.36</v>
      </c>
      <c r="AA755">
        <v>2723.9</v>
      </c>
      <c r="AB755">
        <f t="shared" si="93"/>
        <v>2723.91</v>
      </c>
      <c r="AC755" s="8">
        <f t="shared" si="94"/>
        <v>0.18618316681783725</v>
      </c>
      <c r="AD755" t="s">
        <v>102</v>
      </c>
      <c r="AE755" t="s">
        <v>103</v>
      </c>
      <c r="AF755" t="str">
        <f t="shared" si="95"/>
        <v>Mismatch Found</v>
      </c>
    </row>
    <row r="756" spans="1:32">
      <c r="A756" t="str">
        <f>IF(OR(I756&lt;0, ISTEXT(W756), ISTEXT(Y756)), "Invalid", IF(OR(B756="Conflicting Duplicate", M756="Unknown", S756="Unknown"), "Warning", "Valid"))</f>
        <v>Valid</v>
      </c>
      <c r="B756" t="str">
        <f t="shared" si="89"/>
        <v>-</v>
      </c>
      <c r="C756" t="s">
        <v>1826</v>
      </c>
      <c r="D756" s="2">
        <v>45887</v>
      </c>
      <c r="E756" t="str">
        <f t="shared" si="90"/>
        <v>August</v>
      </c>
      <c r="F756">
        <f t="shared" si="91"/>
        <v>2025</v>
      </c>
      <c r="G756" s="2">
        <v>45891</v>
      </c>
      <c r="H756" t="s">
        <v>1827</v>
      </c>
      <c r="I756">
        <f t="shared" si="92"/>
        <v>4</v>
      </c>
      <c r="J756" t="s">
        <v>2795</v>
      </c>
      <c r="K756" t="s">
        <v>53</v>
      </c>
      <c r="L756" t="s">
        <v>24</v>
      </c>
      <c r="M756" t="s">
        <v>38</v>
      </c>
      <c r="N756" t="s">
        <v>228</v>
      </c>
      <c r="O756" t="s">
        <v>229</v>
      </c>
      <c r="P756" t="s">
        <v>41</v>
      </c>
      <c r="Q756" t="s">
        <v>57</v>
      </c>
      <c r="R756" t="s">
        <v>1828</v>
      </c>
      <c r="S756" t="s">
        <v>31</v>
      </c>
      <c r="T756">
        <v>3</v>
      </c>
      <c r="U756">
        <v>3946.44</v>
      </c>
      <c r="V756">
        <v>0.25</v>
      </c>
      <c r="W756">
        <v>0.25</v>
      </c>
      <c r="X756">
        <v>8879.49</v>
      </c>
      <c r="Y756">
        <f t="shared" si="88"/>
        <v>8879.49</v>
      </c>
      <c r="Z756">
        <v>6344.57</v>
      </c>
      <c r="AA756">
        <v>2534.92</v>
      </c>
      <c r="AB756">
        <f t="shared" si="93"/>
        <v>2534.92</v>
      </c>
      <c r="AC756" s="8">
        <f t="shared" si="94"/>
        <v>0.28548035979543873</v>
      </c>
      <c r="AD756" t="s">
        <v>155</v>
      </c>
      <c r="AE756" t="s">
        <v>103</v>
      </c>
      <c r="AF756" t="str">
        <f t="shared" si="95"/>
        <v>Perfect Match</v>
      </c>
    </row>
    <row r="757" spans="1:32">
      <c r="A757" s="6" t="str">
        <f>IF(OR(I757&lt;0, ISTEXT(W757), ISTEXT(Y757)), "Invalid", IF(OR(B757="Conflicting Duplicate", M757="Unknown", S757="Unknown"), "Warning", "Valid"))</f>
        <v>Warning</v>
      </c>
      <c r="B757" t="str">
        <f t="shared" si="89"/>
        <v>Conflicting Duplicate</v>
      </c>
      <c r="C757" t="s">
        <v>1829</v>
      </c>
      <c r="D757" s="2">
        <v>45698</v>
      </c>
      <c r="E757" t="str">
        <f t="shared" si="90"/>
        <v>February</v>
      </c>
      <c r="F757">
        <f t="shared" si="91"/>
        <v>2025</v>
      </c>
      <c r="G757" s="2">
        <v>45702</v>
      </c>
      <c r="H757" t="s">
        <v>1830</v>
      </c>
      <c r="I757">
        <f t="shared" si="92"/>
        <v>4</v>
      </c>
      <c r="J757" t="s">
        <v>2795</v>
      </c>
      <c r="K757" t="s">
        <v>114</v>
      </c>
      <c r="L757" t="s">
        <v>37</v>
      </c>
      <c r="M757" t="s">
        <v>25</v>
      </c>
      <c r="N757" t="s">
        <v>136</v>
      </c>
      <c r="O757" t="s">
        <v>137</v>
      </c>
      <c r="P757" t="s">
        <v>74</v>
      </c>
      <c r="Q757" t="s">
        <v>171</v>
      </c>
      <c r="R757" t="s">
        <v>1831</v>
      </c>
      <c r="S757" s="4" t="s">
        <v>2790</v>
      </c>
      <c r="T757">
        <v>5</v>
      </c>
      <c r="U757">
        <v>4276.29</v>
      </c>
      <c r="V757">
        <v>0</v>
      </c>
      <c r="W757">
        <v>0</v>
      </c>
      <c r="X757">
        <v>21381.45</v>
      </c>
      <c r="Y757">
        <f t="shared" si="88"/>
        <v>21381.45</v>
      </c>
      <c r="Z757">
        <v>13240.21</v>
      </c>
      <c r="AA757">
        <v>8141.24</v>
      </c>
      <c r="AB757">
        <f t="shared" si="93"/>
        <v>8141.2400000000016</v>
      </c>
      <c r="AC757" s="8">
        <f t="shared" si="94"/>
        <v>0.38076182859441249</v>
      </c>
      <c r="AD757" t="s">
        <v>155</v>
      </c>
      <c r="AE757" t="s">
        <v>103</v>
      </c>
      <c r="AF757" t="str">
        <f t="shared" si="95"/>
        <v>Perfect Match</v>
      </c>
    </row>
    <row r="758" spans="1:32">
      <c r="A758" s="6" t="str">
        <f>IF(OR(I758&lt;0, ISTEXT(W758), ISTEXT(Y758)), "Invalid", IF(OR(B758="Conflicting Duplicate", M758="Unknown", S758="Unknown"), "Warning", "Valid"))</f>
        <v>Warning</v>
      </c>
      <c r="B758" t="str">
        <f t="shared" si="89"/>
        <v>Conflicting Duplicate</v>
      </c>
      <c r="C758" t="s">
        <v>1829</v>
      </c>
      <c r="D758" s="2">
        <v>45698</v>
      </c>
      <c r="E758" t="str">
        <f t="shared" si="90"/>
        <v>February</v>
      </c>
      <c r="F758">
        <f t="shared" si="91"/>
        <v>2025</v>
      </c>
      <c r="G758" s="2">
        <v>45702</v>
      </c>
      <c r="H758" t="s">
        <v>1830</v>
      </c>
      <c r="I758">
        <f t="shared" si="92"/>
        <v>4</v>
      </c>
      <c r="J758" t="s">
        <v>2795</v>
      </c>
      <c r="K758" t="s">
        <v>114</v>
      </c>
      <c r="L758" t="s">
        <v>37</v>
      </c>
      <c r="M758" t="s">
        <v>25</v>
      </c>
      <c r="N758" t="s">
        <v>136</v>
      </c>
      <c r="O758" t="s">
        <v>137</v>
      </c>
      <c r="P758" t="s">
        <v>74</v>
      </c>
      <c r="Q758" t="s">
        <v>171</v>
      </c>
      <c r="R758" t="s">
        <v>1831</v>
      </c>
      <c r="S758" s="4" t="s">
        <v>2790</v>
      </c>
      <c r="T758">
        <v>5</v>
      </c>
      <c r="U758">
        <v>4276.29</v>
      </c>
      <c r="V758">
        <v>0</v>
      </c>
      <c r="W758">
        <v>0</v>
      </c>
      <c r="X758">
        <v>21443.63</v>
      </c>
      <c r="Y758">
        <f t="shared" si="88"/>
        <v>21381.45</v>
      </c>
      <c r="Z758">
        <v>13240.21</v>
      </c>
      <c r="AA758">
        <v>8141.24</v>
      </c>
      <c r="AB758">
        <f t="shared" si="93"/>
        <v>8141.2400000000016</v>
      </c>
      <c r="AC758" s="8">
        <f t="shared" si="94"/>
        <v>0.38076182859441249</v>
      </c>
      <c r="AD758" t="s">
        <v>155</v>
      </c>
      <c r="AE758" t="s">
        <v>33</v>
      </c>
      <c r="AF758" t="str">
        <f t="shared" si="95"/>
        <v>Mismatch Found</v>
      </c>
    </row>
    <row r="759" spans="1:32">
      <c r="A759" t="str">
        <f>IF(OR(I759&lt;0, ISTEXT(W759), ISTEXT(Y759)), "Invalid", IF(OR(B759="Conflicting Duplicate", M759="Unknown", S759="Unknown"), "Warning", "Valid"))</f>
        <v>Valid</v>
      </c>
      <c r="B759" t="str">
        <f t="shared" si="89"/>
        <v>-</v>
      </c>
      <c r="C759" t="s">
        <v>1835</v>
      </c>
      <c r="D759" s="2">
        <v>45922</v>
      </c>
      <c r="E759" t="str">
        <f t="shared" si="90"/>
        <v>September</v>
      </c>
      <c r="F759">
        <f t="shared" si="91"/>
        <v>2025</v>
      </c>
      <c r="G759" s="2">
        <v>45926</v>
      </c>
      <c r="H759" t="s">
        <v>1836</v>
      </c>
      <c r="I759">
        <f t="shared" si="92"/>
        <v>4</v>
      </c>
      <c r="J759" t="s">
        <v>2795</v>
      </c>
      <c r="K759" t="s">
        <v>47</v>
      </c>
      <c r="L759" t="s">
        <v>24</v>
      </c>
      <c r="M759" t="s">
        <v>54</v>
      </c>
      <c r="N759" t="s">
        <v>84</v>
      </c>
      <c r="O759" t="s">
        <v>85</v>
      </c>
      <c r="P759" t="s">
        <v>74</v>
      </c>
      <c r="Q759" t="s">
        <v>171</v>
      </c>
      <c r="R759" t="s">
        <v>1837</v>
      </c>
      <c r="S759" t="s">
        <v>59</v>
      </c>
      <c r="T759">
        <v>1</v>
      </c>
      <c r="U759">
        <v>573.65</v>
      </c>
      <c r="V759">
        <v>0</v>
      </c>
      <c r="W759">
        <v>0</v>
      </c>
      <c r="X759">
        <v>573.65</v>
      </c>
      <c r="Y759">
        <f t="shared" si="88"/>
        <v>573.65</v>
      </c>
      <c r="Z759">
        <v>322.67</v>
      </c>
      <c r="AA759">
        <v>250.98</v>
      </c>
      <c r="AB759">
        <f t="shared" si="93"/>
        <v>250.97999999999996</v>
      </c>
      <c r="AC759" s="8">
        <f t="shared" si="94"/>
        <v>0.43751416368866031</v>
      </c>
      <c r="AD759" t="s">
        <v>32</v>
      </c>
      <c r="AE759" t="s">
        <v>33</v>
      </c>
      <c r="AF759" t="str">
        <f t="shared" si="95"/>
        <v>Perfect Match</v>
      </c>
    </row>
    <row r="760" spans="1:32">
      <c r="A760" t="str">
        <f>IF(OR(I760&lt;0, ISTEXT(W760), ISTEXT(Y760)), "Invalid", IF(OR(B760="Conflicting Duplicate", M760="Unknown", S760="Unknown"), "Warning", "Valid"))</f>
        <v>Valid</v>
      </c>
      <c r="B760" t="str">
        <f t="shared" si="89"/>
        <v>-</v>
      </c>
      <c r="C760" t="s">
        <v>1840</v>
      </c>
      <c r="D760" s="2">
        <v>45727</v>
      </c>
      <c r="E760" t="str">
        <f t="shared" si="90"/>
        <v>March</v>
      </c>
      <c r="F760">
        <f t="shared" si="91"/>
        <v>2025</v>
      </c>
      <c r="G760" s="2">
        <v>45730</v>
      </c>
      <c r="H760" t="s">
        <v>1841</v>
      </c>
      <c r="I760">
        <f t="shared" si="92"/>
        <v>3</v>
      </c>
      <c r="J760" t="s">
        <v>2795</v>
      </c>
      <c r="K760" t="s">
        <v>132</v>
      </c>
      <c r="L760" t="s">
        <v>95</v>
      </c>
      <c r="M760" t="s">
        <v>54</v>
      </c>
      <c r="N760" t="s">
        <v>185</v>
      </c>
      <c r="O760" t="s">
        <v>186</v>
      </c>
      <c r="P760" t="s">
        <v>41</v>
      </c>
      <c r="Q760" t="s">
        <v>57</v>
      </c>
      <c r="R760" t="s">
        <v>1842</v>
      </c>
      <c r="S760" t="s">
        <v>44</v>
      </c>
      <c r="T760">
        <v>4</v>
      </c>
      <c r="U760">
        <v>1244.82</v>
      </c>
      <c r="V760">
        <v>0.2</v>
      </c>
      <c r="W760">
        <v>0.2</v>
      </c>
      <c r="X760">
        <v>3983.42</v>
      </c>
      <c r="Y760">
        <f t="shared" si="88"/>
        <v>3983.42</v>
      </c>
      <c r="Z760">
        <v>3174.91</v>
      </c>
      <c r="AA760">
        <v>808.51</v>
      </c>
      <c r="AB760">
        <f t="shared" si="93"/>
        <v>808.51000000000022</v>
      </c>
      <c r="AC760" s="8">
        <f t="shared" si="94"/>
        <v>0.202968805699625</v>
      </c>
      <c r="AD760" t="s">
        <v>155</v>
      </c>
      <c r="AE760" t="s">
        <v>103</v>
      </c>
      <c r="AF760" t="str">
        <f t="shared" si="95"/>
        <v>Perfect Match</v>
      </c>
    </row>
    <row r="761" spans="1:32">
      <c r="A761" t="str">
        <f>IF(OR(I761&lt;0, ISTEXT(W761), ISTEXT(Y761)), "Invalid", IF(OR(B761="Conflicting Duplicate", M761="Unknown", S761="Unknown"), "Warning", "Valid"))</f>
        <v>Valid</v>
      </c>
      <c r="B761" t="str">
        <f t="shared" si="89"/>
        <v>-</v>
      </c>
      <c r="C761" t="s">
        <v>1846</v>
      </c>
      <c r="D761" s="2">
        <v>45897</v>
      </c>
      <c r="E761" t="str">
        <f t="shared" si="90"/>
        <v>August</v>
      </c>
      <c r="F761">
        <f t="shared" si="91"/>
        <v>2025</v>
      </c>
      <c r="G761" s="2">
        <v>45903</v>
      </c>
      <c r="H761" t="s">
        <v>1847</v>
      </c>
      <c r="I761">
        <f t="shared" si="92"/>
        <v>6</v>
      </c>
      <c r="J761" t="s">
        <v>2795</v>
      </c>
      <c r="K761" t="s">
        <v>114</v>
      </c>
      <c r="L761" t="s">
        <v>90</v>
      </c>
      <c r="M761" t="s">
        <v>63</v>
      </c>
      <c r="N761" t="s">
        <v>72</v>
      </c>
      <c r="O761" t="s">
        <v>73</v>
      </c>
      <c r="P761" t="s">
        <v>41</v>
      </c>
      <c r="Q761" t="s">
        <v>57</v>
      </c>
      <c r="R761" t="s">
        <v>1848</v>
      </c>
      <c r="S761" t="s">
        <v>59</v>
      </c>
      <c r="T761">
        <v>7</v>
      </c>
      <c r="U761">
        <v>268.45</v>
      </c>
      <c r="V761">
        <v>0</v>
      </c>
      <c r="W761">
        <v>0</v>
      </c>
      <c r="X761">
        <v>1879.15</v>
      </c>
      <c r="Y761">
        <f t="shared" si="88"/>
        <v>1879.15</v>
      </c>
      <c r="Z761">
        <v>1134.9000000000001</v>
      </c>
      <c r="AA761">
        <v>744.25</v>
      </c>
      <c r="AB761">
        <f t="shared" si="93"/>
        <v>744.25</v>
      </c>
      <c r="AC761" s="8">
        <f t="shared" si="94"/>
        <v>0.3960567277758561</v>
      </c>
      <c r="AD761" t="s">
        <v>32</v>
      </c>
      <c r="AE761" t="s">
        <v>33</v>
      </c>
      <c r="AF761" t="str">
        <f t="shared" si="95"/>
        <v>Perfect Match</v>
      </c>
    </row>
    <row r="762" spans="1:32">
      <c r="A762" s="6" t="str">
        <f>IF(OR(I762&lt;0, ISTEXT(W762), ISTEXT(Y762)), "Invalid", IF(OR(B762="Conflicting Duplicate", M762="Unknown", S762="Unknown"), "Warning", "Valid"))</f>
        <v>Invalid</v>
      </c>
      <c r="B762" t="str">
        <f t="shared" si="89"/>
        <v>-</v>
      </c>
      <c r="C762" t="s">
        <v>1854</v>
      </c>
      <c r="D762" s="2">
        <v>45811</v>
      </c>
      <c r="E762" t="str">
        <f t="shared" si="90"/>
        <v>June</v>
      </c>
      <c r="F762">
        <f t="shared" si="91"/>
        <v>2025</v>
      </c>
      <c r="G762" s="2">
        <v>45729</v>
      </c>
      <c r="H762" t="s">
        <v>1855</v>
      </c>
      <c r="I762" s="7">
        <f t="shared" si="92"/>
        <v>-82</v>
      </c>
      <c r="J762" s="7" t="s">
        <v>2802</v>
      </c>
      <c r="K762" t="s">
        <v>264</v>
      </c>
      <c r="L762" t="s">
        <v>24</v>
      </c>
      <c r="M762" t="s">
        <v>54</v>
      </c>
      <c r="N762" t="s">
        <v>185</v>
      </c>
      <c r="O762" t="s">
        <v>186</v>
      </c>
      <c r="P762" t="s">
        <v>41</v>
      </c>
      <c r="Q762" t="s">
        <v>66</v>
      </c>
      <c r="R762" t="s">
        <v>1856</v>
      </c>
      <c r="S762" t="s">
        <v>59</v>
      </c>
      <c r="T762">
        <v>3</v>
      </c>
      <c r="U762">
        <v>163.72</v>
      </c>
      <c r="V762">
        <v>0.15</v>
      </c>
      <c r="W762">
        <v>0.15</v>
      </c>
      <c r="X762">
        <v>417.49</v>
      </c>
      <c r="Y762">
        <f t="shared" si="88"/>
        <v>417.49</v>
      </c>
      <c r="Z762">
        <v>261.67</v>
      </c>
      <c r="AA762">
        <v>155.82</v>
      </c>
      <c r="AB762">
        <f t="shared" si="93"/>
        <v>155.82</v>
      </c>
      <c r="AC762" s="8">
        <f t="shared" si="94"/>
        <v>0.37323049653883922</v>
      </c>
      <c r="AD762" t="s">
        <v>155</v>
      </c>
      <c r="AE762" t="s">
        <v>103</v>
      </c>
      <c r="AF762" t="str">
        <f t="shared" si="95"/>
        <v>Perfect Match</v>
      </c>
    </row>
    <row r="763" spans="1:32">
      <c r="A763" t="str">
        <f>IF(OR(I763&lt;0, ISTEXT(W763), ISTEXT(Y763)), "Invalid", IF(OR(B763="Conflicting Duplicate", M763="Unknown", S763="Unknown"), "Warning", "Valid"))</f>
        <v>Valid</v>
      </c>
      <c r="B763" t="str">
        <f t="shared" si="89"/>
        <v>-</v>
      </c>
      <c r="C763" t="s">
        <v>1857</v>
      </c>
      <c r="D763" s="2">
        <v>45878</v>
      </c>
      <c r="E763" t="str">
        <f t="shared" si="90"/>
        <v>August</v>
      </c>
      <c r="F763">
        <f t="shared" si="91"/>
        <v>2025</v>
      </c>
      <c r="G763" s="2">
        <v>45879</v>
      </c>
      <c r="H763" t="s">
        <v>1858</v>
      </c>
      <c r="I763">
        <f t="shared" si="92"/>
        <v>1</v>
      </c>
      <c r="J763" t="s">
        <v>2795</v>
      </c>
      <c r="K763" t="s">
        <v>79</v>
      </c>
      <c r="L763" t="s">
        <v>24</v>
      </c>
      <c r="M763" t="s">
        <v>25</v>
      </c>
      <c r="N763" t="s">
        <v>350</v>
      </c>
      <c r="O763" t="s">
        <v>351</v>
      </c>
      <c r="P763" t="s">
        <v>28</v>
      </c>
      <c r="Q763" t="s">
        <v>48</v>
      </c>
      <c r="R763" t="s">
        <v>1859</v>
      </c>
      <c r="S763" t="s">
        <v>31</v>
      </c>
      <c r="T763">
        <v>4</v>
      </c>
      <c r="U763">
        <v>4080.95</v>
      </c>
      <c r="V763">
        <v>0</v>
      </c>
      <c r="W763">
        <v>0</v>
      </c>
      <c r="X763">
        <v>16323.8</v>
      </c>
      <c r="Y763">
        <f t="shared" si="88"/>
        <v>16323.8</v>
      </c>
      <c r="Z763">
        <v>9965.7900000000009</v>
      </c>
      <c r="AA763">
        <v>6358.01</v>
      </c>
      <c r="AB763">
        <f t="shared" si="93"/>
        <v>6358.0099999999984</v>
      </c>
      <c r="AC763" s="8">
        <f t="shared" si="94"/>
        <v>0.38949325524693995</v>
      </c>
      <c r="AD763" t="s">
        <v>102</v>
      </c>
      <c r="AE763" t="s">
        <v>103</v>
      </c>
      <c r="AF763" t="str">
        <f t="shared" si="95"/>
        <v>Perfect Match</v>
      </c>
    </row>
    <row r="764" spans="1:32">
      <c r="A764" t="str">
        <f>IF(OR(I764&lt;0, ISTEXT(W764), ISTEXT(Y764)), "Invalid", IF(OR(B764="Conflicting Duplicate", M764="Unknown", S764="Unknown"), "Warning", "Valid"))</f>
        <v>Valid</v>
      </c>
      <c r="B764" t="str">
        <f t="shared" si="89"/>
        <v>-</v>
      </c>
      <c r="C764" t="s">
        <v>1869</v>
      </c>
      <c r="D764" s="2">
        <v>45830</v>
      </c>
      <c r="E764" t="str">
        <f t="shared" si="90"/>
        <v>June</v>
      </c>
      <c r="F764">
        <f t="shared" si="91"/>
        <v>2025</v>
      </c>
      <c r="G764" s="2">
        <v>45833</v>
      </c>
      <c r="H764" t="s">
        <v>1870</v>
      </c>
      <c r="I764">
        <f t="shared" si="92"/>
        <v>3</v>
      </c>
      <c r="J764" t="s">
        <v>2795</v>
      </c>
      <c r="K764" t="s">
        <v>162</v>
      </c>
      <c r="L764" t="s">
        <v>37</v>
      </c>
      <c r="M764" t="s">
        <v>697</v>
      </c>
      <c r="N764" t="s">
        <v>64</v>
      </c>
      <c r="O764" t="s">
        <v>65</v>
      </c>
      <c r="P764" t="s">
        <v>74</v>
      </c>
      <c r="Q764" t="s">
        <v>171</v>
      </c>
      <c r="R764" t="s">
        <v>1871</v>
      </c>
      <c r="S764" t="s">
        <v>50</v>
      </c>
      <c r="T764">
        <v>8</v>
      </c>
      <c r="U764">
        <v>3453.66</v>
      </c>
      <c r="V764">
        <v>0</v>
      </c>
      <c r="W764">
        <v>0</v>
      </c>
      <c r="X764">
        <v>27629.279999999999</v>
      </c>
      <c r="Y764">
        <f t="shared" si="88"/>
        <v>27629.279999999999</v>
      </c>
      <c r="Z764">
        <v>22026.48</v>
      </c>
      <c r="AA764">
        <v>5602.8</v>
      </c>
      <c r="AB764">
        <f t="shared" si="93"/>
        <v>5602.7999999999993</v>
      </c>
      <c r="AC764" s="8">
        <f t="shared" si="94"/>
        <v>0.20278487170132553</v>
      </c>
      <c r="AD764" t="s">
        <v>32</v>
      </c>
      <c r="AE764" t="s">
        <v>33</v>
      </c>
      <c r="AF764" t="str">
        <f t="shared" si="95"/>
        <v>Perfect Match</v>
      </c>
    </row>
    <row r="765" spans="1:32">
      <c r="A765" s="6" t="str">
        <f>IF(OR(I765&lt;0, ISTEXT(W765), ISTEXT(Y765)), "Invalid", IF(OR(B765="Conflicting Duplicate", M765="Unknown", S765="Unknown"), "Warning", "Valid"))</f>
        <v>Invalid</v>
      </c>
      <c r="B765" t="str">
        <f t="shared" si="89"/>
        <v>-</v>
      </c>
      <c r="C765" t="s">
        <v>1872</v>
      </c>
      <c r="D765" s="2">
        <v>45995</v>
      </c>
      <c r="E765" t="str">
        <f t="shared" si="90"/>
        <v>December</v>
      </c>
      <c r="F765">
        <f t="shared" si="91"/>
        <v>2025</v>
      </c>
      <c r="G765" s="2">
        <v>45759</v>
      </c>
      <c r="H765" t="s">
        <v>1873</v>
      </c>
      <c r="I765" s="7">
        <f t="shared" si="92"/>
        <v>-236</v>
      </c>
      <c r="J765" s="7" t="s">
        <v>2802</v>
      </c>
      <c r="K765" t="s">
        <v>36</v>
      </c>
      <c r="L765" t="s">
        <v>95</v>
      </c>
      <c r="M765" t="s">
        <v>25</v>
      </c>
      <c r="N765" t="s">
        <v>122</v>
      </c>
      <c r="O765" t="s">
        <v>123</v>
      </c>
      <c r="P765" t="s">
        <v>28</v>
      </c>
      <c r="Q765" t="s">
        <v>153</v>
      </c>
      <c r="R765" t="s">
        <v>1874</v>
      </c>
      <c r="S765" t="s">
        <v>31</v>
      </c>
      <c r="T765">
        <v>7</v>
      </c>
      <c r="U765">
        <v>1334.2</v>
      </c>
      <c r="V765">
        <v>0.2</v>
      </c>
      <c r="W765">
        <v>0.2</v>
      </c>
      <c r="X765">
        <v>7471.52</v>
      </c>
      <c r="Y765">
        <f t="shared" si="88"/>
        <v>7471.52</v>
      </c>
      <c r="Z765">
        <v>6184.32</v>
      </c>
      <c r="AA765">
        <v>1287.2</v>
      </c>
      <c r="AB765">
        <f t="shared" si="93"/>
        <v>1287.2000000000007</v>
      </c>
      <c r="AC765" s="8">
        <f t="shared" si="94"/>
        <v>0.17228087457438387</v>
      </c>
      <c r="AD765" t="s">
        <v>32</v>
      </c>
      <c r="AE765" t="s">
        <v>33</v>
      </c>
      <c r="AF765" t="str">
        <f t="shared" si="95"/>
        <v>Perfect Match</v>
      </c>
    </row>
    <row r="766" spans="1:32">
      <c r="A766" t="str">
        <f>IF(OR(I766&lt;0, ISTEXT(W766), ISTEXT(Y766)), "Invalid", IF(OR(B766="Conflicting Duplicate", M766="Unknown", S766="Unknown"), "Warning", "Valid"))</f>
        <v>Valid</v>
      </c>
      <c r="B766" t="str">
        <f t="shared" si="89"/>
        <v>-</v>
      </c>
      <c r="C766" t="s">
        <v>1875</v>
      </c>
      <c r="D766" s="2">
        <v>45861</v>
      </c>
      <c r="E766" t="str">
        <f t="shared" si="90"/>
        <v>July</v>
      </c>
      <c r="F766">
        <f t="shared" si="91"/>
        <v>2025</v>
      </c>
      <c r="G766" s="2">
        <v>45869</v>
      </c>
      <c r="H766" t="s">
        <v>1876</v>
      </c>
      <c r="I766">
        <f t="shared" si="92"/>
        <v>8</v>
      </c>
      <c r="J766" t="s">
        <v>2795</v>
      </c>
      <c r="K766" t="s">
        <v>264</v>
      </c>
      <c r="L766" t="s">
        <v>95</v>
      </c>
      <c r="M766" t="s">
        <v>63</v>
      </c>
      <c r="N766" t="s">
        <v>72</v>
      </c>
      <c r="O766" t="s">
        <v>73</v>
      </c>
      <c r="P766" t="s">
        <v>74</v>
      </c>
      <c r="Q766" t="s">
        <v>75</v>
      </c>
      <c r="R766" t="s">
        <v>1877</v>
      </c>
      <c r="S766" t="s">
        <v>50</v>
      </c>
      <c r="T766">
        <v>1</v>
      </c>
      <c r="U766">
        <v>4253.84</v>
      </c>
      <c r="V766">
        <v>0.15</v>
      </c>
      <c r="W766">
        <v>0.15</v>
      </c>
      <c r="X766">
        <v>3615.76</v>
      </c>
      <c r="Y766">
        <f t="shared" si="88"/>
        <v>3615.76</v>
      </c>
      <c r="Z766">
        <v>2951.52</v>
      </c>
      <c r="AA766">
        <v>664.24</v>
      </c>
      <c r="AB766">
        <f t="shared" si="93"/>
        <v>664.24000000000024</v>
      </c>
      <c r="AC766" s="8">
        <f t="shared" si="94"/>
        <v>0.18370688320021245</v>
      </c>
      <c r="AD766" t="s">
        <v>102</v>
      </c>
      <c r="AE766" t="s">
        <v>68</v>
      </c>
      <c r="AF766" t="str">
        <f t="shared" si="95"/>
        <v>Perfect Match</v>
      </c>
    </row>
    <row r="767" spans="1:32">
      <c r="A767" t="str">
        <f>IF(OR(I767&lt;0, ISTEXT(W767), ISTEXT(Y767)), "Invalid", IF(OR(B767="Conflicting Duplicate", M767="Unknown", S767="Unknown"), "Warning", "Valid"))</f>
        <v>Valid</v>
      </c>
      <c r="B767" t="str">
        <f t="shared" si="89"/>
        <v>-</v>
      </c>
      <c r="C767" t="s">
        <v>1878</v>
      </c>
      <c r="D767" s="2">
        <v>45727</v>
      </c>
      <c r="E767" t="str">
        <f t="shared" si="90"/>
        <v>March</v>
      </c>
      <c r="F767">
        <f t="shared" si="91"/>
        <v>2025</v>
      </c>
      <c r="G767" s="2">
        <v>45731</v>
      </c>
      <c r="H767" t="s">
        <v>1879</v>
      </c>
      <c r="I767">
        <f t="shared" si="92"/>
        <v>4</v>
      </c>
      <c r="J767" t="s">
        <v>2795</v>
      </c>
      <c r="K767" t="s">
        <v>128</v>
      </c>
      <c r="L767" t="s">
        <v>95</v>
      </c>
      <c r="M767" t="s">
        <v>54</v>
      </c>
      <c r="N767" t="s">
        <v>175</v>
      </c>
      <c r="O767" t="s">
        <v>176</v>
      </c>
      <c r="P767" t="s">
        <v>74</v>
      </c>
      <c r="Q767" t="s">
        <v>75</v>
      </c>
      <c r="R767" t="s">
        <v>1880</v>
      </c>
      <c r="S767" t="s">
        <v>31</v>
      </c>
      <c r="T767">
        <v>8</v>
      </c>
      <c r="U767">
        <v>4446.3599999999997</v>
      </c>
      <c r="V767">
        <v>0.1</v>
      </c>
      <c r="W767">
        <v>0.1</v>
      </c>
      <c r="X767">
        <v>32013.79</v>
      </c>
      <c r="Y767">
        <f t="shared" si="88"/>
        <v>32013.79</v>
      </c>
      <c r="Z767">
        <v>20896.88</v>
      </c>
      <c r="AA767">
        <v>11116.91</v>
      </c>
      <c r="AB767">
        <f t="shared" si="93"/>
        <v>11116.91</v>
      </c>
      <c r="AC767" s="8">
        <f t="shared" si="94"/>
        <v>0.3472537928186572</v>
      </c>
      <c r="AD767" t="s">
        <v>102</v>
      </c>
      <c r="AE767" t="s">
        <v>68</v>
      </c>
      <c r="AF767" t="str">
        <f t="shared" si="95"/>
        <v>Perfect Match</v>
      </c>
    </row>
    <row r="768" spans="1:32">
      <c r="A768" t="str">
        <f>IF(OR(I768&lt;0, ISTEXT(W768), ISTEXT(Y768)), "Invalid", IF(OR(B768="Conflicting Duplicate", M768="Unknown", S768="Unknown"), "Warning", "Valid"))</f>
        <v>Valid</v>
      </c>
      <c r="B768" t="str">
        <f t="shared" si="89"/>
        <v>-</v>
      </c>
      <c r="C768" t="s">
        <v>1893</v>
      </c>
      <c r="D768" s="2">
        <v>45927</v>
      </c>
      <c r="E768" t="str">
        <f t="shared" si="90"/>
        <v>September</v>
      </c>
      <c r="F768">
        <f t="shared" si="91"/>
        <v>2025</v>
      </c>
      <c r="G768" s="2">
        <v>45929</v>
      </c>
      <c r="H768" t="s">
        <v>1683</v>
      </c>
      <c r="I768">
        <f t="shared" si="92"/>
        <v>2</v>
      </c>
      <c r="J768" t="s">
        <v>2795</v>
      </c>
      <c r="K768" t="s">
        <v>53</v>
      </c>
      <c r="L768" t="s">
        <v>95</v>
      </c>
      <c r="M768" t="s">
        <v>25</v>
      </c>
      <c r="N768" t="s">
        <v>136</v>
      </c>
      <c r="O768" t="s">
        <v>137</v>
      </c>
      <c r="P768" t="s">
        <v>41</v>
      </c>
      <c r="Q768" t="s">
        <v>42</v>
      </c>
      <c r="R768" t="s">
        <v>1894</v>
      </c>
      <c r="S768" t="s">
        <v>31</v>
      </c>
      <c r="T768">
        <v>9</v>
      </c>
      <c r="U768">
        <v>4100.1099999999997</v>
      </c>
      <c r="V768">
        <v>0.25</v>
      </c>
      <c r="W768">
        <v>0.25</v>
      </c>
      <c r="X768">
        <v>27675.74</v>
      </c>
      <c r="Y768">
        <f t="shared" si="88"/>
        <v>27675.74</v>
      </c>
      <c r="Z768">
        <v>15571.08</v>
      </c>
      <c r="AA768">
        <v>12104.66</v>
      </c>
      <c r="AB768">
        <f t="shared" si="93"/>
        <v>12104.660000000002</v>
      </c>
      <c r="AC768" s="8">
        <f t="shared" si="94"/>
        <v>0.43737439360248365</v>
      </c>
      <c r="AD768" t="s">
        <v>32</v>
      </c>
      <c r="AE768" t="s">
        <v>33</v>
      </c>
      <c r="AF768" t="str">
        <f t="shared" si="95"/>
        <v>Perfect Match</v>
      </c>
    </row>
    <row r="769" spans="1:32">
      <c r="A769" t="str">
        <f>IF(OR(I769&lt;0, ISTEXT(W769), ISTEXT(Y769)), "Invalid", IF(OR(B769="Conflicting Duplicate", M769="Unknown", S769="Unknown"), "Warning", "Valid"))</f>
        <v>Valid</v>
      </c>
      <c r="B769" t="str">
        <f t="shared" si="89"/>
        <v>-</v>
      </c>
      <c r="C769" t="s">
        <v>1898</v>
      </c>
      <c r="D769" s="2">
        <v>45699</v>
      </c>
      <c r="E769" t="str">
        <f t="shared" si="90"/>
        <v>February</v>
      </c>
      <c r="F769">
        <f t="shared" si="91"/>
        <v>2025</v>
      </c>
      <c r="G769" s="2">
        <v>45704</v>
      </c>
      <c r="H769" t="s">
        <v>1899</v>
      </c>
      <c r="I769">
        <f t="shared" si="92"/>
        <v>5</v>
      </c>
      <c r="J769" t="s">
        <v>2795</v>
      </c>
      <c r="K769" t="s">
        <v>36</v>
      </c>
      <c r="L769" t="s">
        <v>90</v>
      </c>
      <c r="M769" t="s">
        <v>25</v>
      </c>
      <c r="N769" t="s">
        <v>136</v>
      </c>
      <c r="O769" t="s">
        <v>137</v>
      </c>
      <c r="P769" t="s">
        <v>74</v>
      </c>
      <c r="Q769" t="s">
        <v>171</v>
      </c>
      <c r="R769" t="s">
        <v>1900</v>
      </c>
      <c r="S769" t="s">
        <v>50</v>
      </c>
      <c r="T769">
        <v>8</v>
      </c>
      <c r="U769">
        <v>1825.56</v>
      </c>
      <c r="V769">
        <v>0.1</v>
      </c>
      <c r="W769">
        <v>0.1</v>
      </c>
      <c r="X769">
        <v>13144.03</v>
      </c>
      <c r="Y769">
        <f t="shared" si="88"/>
        <v>13144.03</v>
      </c>
      <c r="Z769">
        <v>9764</v>
      </c>
      <c r="AA769">
        <v>3380.03</v>
      </c>
      <c r="AB769">
        <f t="shared" si="93"/>
        <v>3380.0300000000007</v>
      </c>
      <c r="AC769" s="8">
        <f t="shared" si="94"/>
        <v>0.25715324751997681</v>
      </c>
      <c r="AD769" t="s">
        <v>32</v>
      </c>
      <c r="AE769" t="s">
        <v>33</v>
      </c>
      <c r="AF769" t="str">
        <f t="shared" si="95"/>
        <v>Perfect Match</v>
      </c>
    </row>
    <row r="770" spans="1:32">
      <c r="A770" t="str">
        <f>IF(OR(I770&lt;0, ISTEXT(W770), ISTEXT(Y770)), "Invalid", IF(OR(B770="Conflicting Duplicate", M770="Unknown", S770="Unknown"), "Warning", "Valid"))</f>
        <v>Valid</v>
      </c>
      <c r="B770" t="str">
        <f t="shared" si="89"/>
        <v>-</v>
      </c>
      <c r="C770" t="s">
        <v>1904</v>
      </c>
      <c r="D770" s="2">
        <v>45846</v>
      </c>
      <c r="E770" t="str">
        <f t="shared" si="90"/>
        <v>July</v>
      </c>
      <c r="F770">
        <f t="shared" si="91"/>
        <v>2025</v>
      </c>
      <c r="G770" s="2">
        <v>45846</v>
      </c>
      <c r="H770" t="s">
        <v>1905</v>
      </c>
      <c r="I770">
        <f t="shared" si="92"/>
        <v>0</v>
      </c>
      <c r="J770" t="s">
        <v>2795</v>
      </c>
      <c r="K770" t="s">
        <v>89</v>
      </c>
      <c r="L770" t="s">
        <v>24</v>
      </c>
      <c r="M770" t="s">
        <v>54</v>
      </c>
      <c r="N770" t="s">
        <v>55</v>
      </c>
      <c r="O770" t="s">
        <v>56</v>
      </c>
      <c r="P770" t="s">
        <v>74</v>
      </c>
      <c r="Q770" t="s">
        <v>80</v>
      </c>
      <c r="R770" t="s">
        <v>1906</v>
      </c>
      <c r="S770" t="s">
        <v>44</v>
      </c>
      <c r="T770">
        <v>9</v>
      </c>
      <c r="U770">
        <v>274.88</v>
      </c>
      <c r="V770">
        <v>0.25</v>
      </c>
      <c r="W770">
        <v>0.25</v>
      </c>
      <c r="X770">
        <v>1855.44</v>
      </c>
      <c r="Y770">
        <f t="shared" ref="Y770:Y833" si="96">IF(ISTEXT(W770), "Cannot Calculate", ROUND(T770 * U770 * (1 - W770), 2))</f>
        <v>1855.44</v>
      </c>
      <c r="Z770">
        <v>1262.74</v>
      </c>
      <c r="AA770">
        <v>592.70000000000005</v>
      </c>
      <c r="AB770">
        <f t="shared" si="93"/>
        <v>592.70000000000005</v>
      </c>
      <c r="AC770" s="8">
        <f t="shared" si="94"/>
        <v>0.3194390548872505</v>
      </c>
      <c r="AD770" t="s">
        <v>32</v>
      </c>
      <c r="AE770" t="s">
        <v>33</v>
      </c>
      <c r="AF770" t="str">
        <f t="shared" si="95"/>
        <v>Perfect Match</v>
      </c>
    </row>
    <row r="771" spans="1:32">
      <c r="A771" s="6" t="str">
        <f>IF(OR(I771&lt;0, ISTEXT(W771), ISTEXT(Y771)), "Invalid", IF(OR(B771="Conflicting Duplicate", M771="Unknown", S771="Unknown"), "Warning", "Valid"))</f>
        <v>Invalid</v>
      </c>
      <c r="B771" t="str">
        <f t="shared" ref="B771:B834" si="97">IF(COUNTIF(C:C, C771)&gt;1, "Conflicting Duplicate", "-")</f>
        <v>-</v>
      </c>
      <c r="C771" t="s">
        <v>1913</v>
      </c>
      <c r="D771" s="2">
        <v>45780</v>
      </c>
      <c r="E771" t="str">
        <f t="shared" ref="E771:E834" si="98">TEXT(D771, "mmmm")</f>
        <v>May</v>
      </c>
      <c r="F771">
        <f t="shared" ref="F771:F834" si="99">YEAR(D771)</f>
        <v>2025</v>
      </c>
      <c r="G771" s="2">
        <v>45728</v>
      </c>
      <c r="H771" t="s">
        <v>1914</v>
      </c>
      <c r="I771" s="7">
        <f t="shared" ref="I771:I834" si="100">G771-D771</f>
        <v>-52</v>
      </c>
      <c r="J771" s="7" t="s">
        <v>2802</v>
      </c>
      <c r="K771" t="s">
        <v>62</v>
      </c>
      <c r="L771" t="s">
        <v>90</v>
      </c>
      <c r="M771" t="s">
        <v>63</v>
      </c>
      <c r="N771" t="s">
        <v>72</v>
      </c>
      <c r="O771" t="s">
        <v>73</v>
      </c>
      <c r="P771" t="s">
        <v>28</v>
      </c>
      <c r="Q771" t="s">
        <v>124</v>
      </c>
      <c r="R771" t="s">
        <v>1915</v>
      </c>
      <c r="S771" t="s">
        <v>44</v>
      </c>
      <c r="T771">
        <v>3</v>
      </c>
      <c r="U771">
        <v>3682.75</v>
      </c>
      <c r="V771">
        <f>IF(ROUND(T753*U753, 2)=ROUND(X753, 2), 0, "Flag - Missing Value")</f>
        <v>0</v>
      </c>
      <c r="W771">
        <v>0</v>
      </c>
      <c r="X771">
        <v>11048.25</v>
      </c>
      <c r="Y771">
        <f t="shared" si="96"/>
        <v>11048.25</v>
      </c>
      <c r="Z771">
        <v>9062.7199999999993</v>
      </c>
      <c r="AA771">
        <v>1985.53</v>
      </c>
      <c r="AB771">
        <f t="shared" ref="AB771:AB834" si="101">IF(ISTEXT(Y771), "Cannot Calculate", Y771 - Z771)</f>
        <v>1985.5300000000007</v>
      </c>
      <c r="AC771" s="8">
        <f t="shared" ref="AC771:AC834" si="102">IFERROR(AB771 / Y771, 0)</f>
        <v>0.17971443441268986</v>
      </c>
      <c r="AD771" t="s">
        <v>32</v>
      </c>
      <c r="AE771" t="s">
        <v>33</v>
      </c>
      <c r="AF771" t="str">
        <f t="shared" ref="AF771:AF834" si="103">IF(OR(ISTEXT(Z771), ISTEXT(AB771)), "Calculation Blocked", IF(OR(ROUND(X771, 2) &lt;&gt; ROUND(Y771, 2), ROUND(AA771, 2) &lt;&gt; ROUND(AB771, 2)), "Mismatch Found", "Perfect Match"))</f>
        <v>Perfect Match</v>
      </c>
    </row>
    <row r="772" spans="1:32">
      <c r="A772" t="str">
        <f>IF(OR(I772&lt;0, ISTEXT(W772), ISTEXT(Y772)), "Invalid", IF(OR(B772="Conflicting Duplicate", M772="Unknown", S772="Unknown"), "Warning", "Valid"))</f>
        <v>Valid</v>
      </c>
      <c r="B772" t="str">
        <f t="shared" si="97"/>
        <v>-</v>
      </c>
      <c r="C772" t="s">
        <v>1922</v>
      </c>
      <c r="D772" s="2">
        <v>45660</v>
      </c>
      <c r="E772" t="str">
        <f t="shared" si="98"/>
        <v>January</v>
      </c>
      <c r="F772">
        <f t="shared" si="99"/>
        <v>2025</v>
      </c>
      <c r="G772" s="2">
        <v>45962</v>
      </c>
      <c r="H772" t="s">
        <v>334</v>
      </c>
      <c r="I772">
        <f t="shared" si="100"/>
        <v>302</v>
      </c>
      <c r="J772" t="s">
        <v>2795</v>
      </c>
      <c r="K772" t="s">
        <v>71</v>
      </c>
      <c r="L772" t="s">
        <v>90</v>
      </c>
      <c r="M772" t="s">
        <v>38</v>
      </c>
      <c r="N772" t="s">
        <v>145</v>
      </c>
      <c r="O772" t="s">
        <v>146</v>
      </c>
      <c r="P772" t="s">
        <v>74</v>
      </c>
      <c r="Q772" t="s">
        <v>75</v>
      </c>
      <c r="R772" t="s">
        <v>1923</v>
      </c>
      <c r="S772" t="s">
        <v>50</v>
      </c>
      <c r="T772">
        <v>8</v>
      </c>
      <c r="U772">
        <v>2574.29</v>
      </c>
      <c r="V772">
        <v>0.05</v>
      </c>
      <c r="W772">
        <v>0.05</v>
      </c>
      <c r="X772">
        <v>19564.599999999999</v>
      </c>
      <c r="Y772">
        <f t="shared" si="96"/>
        <v>19564.599999999999</v>
      </c>
      <c r="Z772">
        <v>11154.59</v>
      </c>
      <c r="AA772">
        <v>8410.01</v>
      </c>
      <c r="AB772">
        <f t="shared" si="101"/>
        <v>8410.0099999999984</v>
      </c>
      <c r="AC772" s="8">
        <f t="shared" si="102"/>
        <v>0.42985851997996377</v>
      </c>
      <c r="AD772" t="s">
        <v>111</v>
      </c>
      <c r="AE772" t="s">
        <v>68</v>
      </c>
      <c r="AF772" t="str">
        <f t="shared" si="103"/>
        <v>Perfect Match</v>
      </c>
    </row>
    <row r="773" spans="1:32">
      <c r="A773" s="6" t="str">
        <f>IF(OR(I773&lt;0, ISTEXT(W773), ISTEXT(Y773)), "Invalid", IF(OR(B773="Conflicting Duplicate", M773="Unknown", S773="Unknown"), "Warning", "Valid"))</f>
        <v>Invalid</v>
      </c>
      <c r="B773" t="str">
        <f t="shared" si="97"/>
        <v>-</v>
      </c>
      <c r="C773" t="s">
        <v>1924</v>
      </c>
      <c r="D773" s="2">
        <v>45779</v>
      </c>
      <c r="E773" t="str">
        <f t="shared" si="98"/>
        <v>May</v>
      </c>
      <c r="F773">
        <f t="shared" si="99"/>
        <v>2025</v>
      </c>
      <c r="G773" s="2">
        <v>45694</v>
      </c>
      <c r="H773" t="s">
        <v>1925</v>
      </c>
      <c r="I773" s="7">
        <f t="shared" si="100"/>
        <v>-85</v>
      </c>
      <c r="J773" s="7" t="s">
        <v>2802</v>
      </c>
      <c r="K773" t="s">
        <v>62</v>
      </c>
      <c r="L773" t="s">
        <v>24</v>
      </c>
      <c r="M773" t="s">
        <v>63</v>
      </c>
      <c r="N773" t="s">
        <v>72</v>
      </c>
      <c r="O773" t="s">
        <v>73</v>
      </c>
      <c r="P773" t="s">
        <v>28</v>
      </c>
      <c r="Q773" t="s">
        <v>153</v>
      </c>
      <c r="R773" t="s">
        <v>1926</v>
      </c>
      <c r="S773" t="s">
        <v>44</v>
      </c>
      <c r="T773">
        <v>3</v>
      </c>
      <c r="U773">
        <v>1076.3</v>
      </c>
      <c r="V773">
        <v>0</v>
      </c>
      <c r="W773">
        <v>0</v>
      </c>
      <c r="X773">
        <v>3228.9</v>
      </c>
      <c r="Y773">
        <f t="shared" si="96"/>
        <v>3228.9</v>
      </c>
      <c r="Z773">
        <v>1853.23</v>
      </c>
      <c r="AA773">
        <v>1375.67</v>
      </c>
      <c r="AB773">
        <f t="shared" si="101"/>
        <v>1375.67</v>
      </c>
      <c r="AC773" s="8">
        <f t="shared" si="102"/>
        <v>0.42604911889497971</v>
      </c>
      <c r="AD773" t="s">
        <v>32</v>
      </c>
      <c r="AE773" t="s">
        <v>33</v>
      </c>
      <c r="AF773" t="str">
        <f t="shared" si="103"/>
        <v>Perfect Match</v>
      </c>
    </row>
    <row r="774" spans="1:32">
      <c r="A774" s="6" t="str">
        <f>IF(OR(I774&lt;0, ISTEXT(W774), ISTEXT(Y774)), "Invalid", IF(OR(B774="Conflicting Duplicate", M774="Unknown", S774="Unknown"), "Warning", "Valid"))</f>
        <v>Invalid</v>
      </c>
      <c r="B774" t="str">
        <f t="shared" si="97"/>
        <v>-</v>
      </c>
      <c r="C774" t="s">
        <v>1927</v>
      </c>
      <c r="D774" s="2">
        <v>45847</v>
      </c>
      <c r="E774" t="str">
        <f t="shared" si="98"/>
        <v>July</v>
      </c>
      <c r="F774">
        <f t="shared" si="99"/>
        <v>2025</v>
      </c>
      <c r="G774" s="2">
        <v>45851</v>
      </c>
      <c r="H774" t="s">
        <v>1928</v>
      </c>
      <c r="I774">
        <f t="shared" si="100"/>
        <v>4</v>
      </c>
      <c r="J774" t="s">
        <v>2795</v>
      </c>
      <c r="K774" t="s">
        <v>264</v>
      </c>
      <c r="L774" t="s">
        <v>90</v>
      </c>
      <c r="M774" t="s">
        <v>63</v>
      </c>
      <c r="N774" t="s">
        <v>190</v>
      </c>
      <c r="O774" t="s">
        <v>191</v>
      </c>
      <c r="P774" t="s">
        <v>41</v>
      </c>
      <c r="Q774" t="s">
        <v>57</v>
      </c>
      <c r="R774" t="s">
        <v>1929</v>
      </c>
      <c r="S774" t="s">
        <v>31</v>
      </c>
      <c r="T774">
        <v>5</v>
      </c>
      <c r="U774">
        <v>1680.01</v>
      </c>
      <c r="V774" s="5">
        <v>0.85</v>
      </c>
      <c r="W774" s="4" t="s">
        <v>2794</v>
      </c>
      <c r="X774">
        <v>7560.04</v>
      </c>
      <c r="Y774" s="4" t="str">
        <f t="shared" si="96"/>
        <v>Cannot Calculate</v>
      </c>
      <c r="Z774">
        <v>6448.05</v>
      </c>
      <c r="AA774">
        <v>1111.99</v>
      </c>
      <c r="AB774" s="4" t="str">
        <f t="shared" si="101"/>
        <v>Cannot Calculate</v>
      </c>
      <c r="AC774" s="9">
        <f t="shared" si="102"/>
        <v>0</v>
      </c>
      <c r="AD774" t="s">
        <v>32</v>
      </c>
      <c r="AE774" t="s">
        <v>68</v>
      </c>
      <c r="AF774" t="str">
        <f t="shared" si="103"/>
        <v>Calculation Blocked</v>
      </c>
    </row>
    <row r="775" spans="1:32">
      <c r="A775" t="str">
        <f>IF(OR(I775&lt;0, ISTEXT(W775), ISTEXT(Y775)), "Invalid", IF(OR(B775="Conflicting Duplicate", M775="Unknown", S775="Unknown"), "Warning", "Valid"))</f>
        <v>Valid</v>
      </c>
      <c r="B775" t="str">
        <f t="shared" si="97"/>
        <v>-</v>
      </c>
      <c r="C775" t="s">
        <v>1930</v>
      </c>
      <c r="D775" s="2">
        <v>45710</v>
      </c>
      <c r="E775" t="str">
        <f t="shared" si="98"/>
        <v>February</v>
      </c>
      <c r="F775">
        <f t="shared" si="99"/>
        <v>2025</v>
      </c>
      <c r="G775" s="2">
        <v>45716</v>
      </c>
      <c r="H775" t="s">
        <v>1931</v>
      </c>
      <c r="I775">
        <f t="shared" si="100"/>
        <v>6</v>
      </c>
      <c r="J775" t="s">
        <v>2795</v>
      </c>
      <c r="K775" t="s">
        <v>118</v>
      </c>
      <c r="L775" t="s">
        <v>95</v>
      </c>
      <c r="M775" t="s">
        <v>63</v>
      </c>
      <c r="N775" t="s">
        <v>72</v>
      </c>
      <c r="O775" t="s">
        <v>73</v>
      </c>
      <c r="P775" t="s">
        <v>74</v>
      </c>
      <c r="Q775" t="s">
        <v>80</v>
      </c>
      <c r="R775" t="s">
        <v>1932</v>
      </c>
      <c r="S775" t="s">
        <v>44</v>
      </c>
      <c r="T775">
        <v>3</v>
      </c>
      <c r="U775">
        <v>3890.81</v>
      </c>
      <c r="V775">
        <v>0.25</v>
      </c>
      <c r="W775">
        <v>0.25</v>
      </c>
      <c r="X775">
        <v>8754.32</v>
      </c>
      <c r="Y775">
        <f t="shared" si="96"/>
        <v>8754.32</v>
      </c>
      <c r="Z775">
        <v>6238.9</v>
      </c>
      <c r="AA775">
        <v>2515.42</v>
      </c>
      <c r="AB775">
        <f t="shared" si="101"/>
        <v>2515.42</v>
      </c>
      <c r="AC775" s="8">
        <f t="shared" si="102"/>
        <v>0.28733471017737533</v>
      </c>
      <c r="AD775" t="s">
        <v>32</v>
      </c>
      <c r="AE775" t="s">
        <v>33</v>
      </c>
      <c r="AF775" t="str">
        <f t="shared" si="103"/>
        <v>Perfect Match</v>
      </c>
    </row>
    <row r="776" spans="1:32">
      <c r="A776" t="str">
        <f>IF(OR(I776&lt;0, ISTEXT(W776), ISTEXT(Y776)), "Invalid", IF(OR(B776="Conflicting Duplicate", M776="Unknown", S776="Unknown"), "Warning", "Valid"))</f>
        <v>Valid</v>
      </c>
      <c r="B776" t="str">
        <f t="shared" si="97"/>
        <v>-</v>
      </c>
      <c r="C776" t="s">
        <v>1933</v>
      </c>
      <c r="D776" s="2">
        <v>45704</v>
      </c>
      <c r="E776" t="str">
        <f t="shared" si="98"/>
        <v>February</v>
      </c>
      <c r="F776">
        <f t="shared" si="99"/>
        <v>2025</v>
      </c>
      <c r="G776" s="2">
        <v>45710</v>
      </c>
      <c r="H776" t="s">
        <v>1934</v>
      </c>
      <c r="I776">
        <f t="shared" si="100"/>
        <v>6</v>
      </c>
      <c r="J776" t="s">
        <v>2795</v>
      </c>
      <c r="K776" t="s">
        <v>132</v>
      </c>
      <c r="L776" t="s">
        <v>95</v>
      </c>
      <c r="M776" t="s">
        <v>38</v>
      </c>
      <c r="N776" t="s">
        <v>145</v>
      </c>
      <c r="O776" t="s">
        <v>146</v>
      </c>
      <c r="P776" t="s">
        <v>28</v>
      </c>
      <c r="Q776" t="s">
        <v>124</v>
      </c>
      <c r="R776" t="s">
        <v>1935</v>
      </c>
      <c r="S776" t="s">
        <v>44</v>
      </c>
      <c r="T776">
        <v>5</v>
      </c>
      <c r="U776">
        <v>954.67</v>
      </c>
      <c r="V776">
        <v>0.15</v>
      </c>
      <c r="W776">
        <v>0.15</v>
      </c>
      <c r="X776">
        <v>4057.35</v>
      </c>
      <c r="Y776">
        <f t="shared" si="96"/>
        <v>4057.35</v>
      </c>
      <c r="Z776">
        <v>2862.03</v>
      </c>
      <c r="AA776">
        <v>1195.32</v>
      </c>
      <c r="AB776">
        <f t="shared" si="101"/>
        <v>1195.3199999999997</v>
      </c>
      <c r="AC776" s="8">
        <f t="shared" si="102"/>
        <v>0.2946060852526895</v>
      </c>
      <c r="AD776" t="s">
        <v>32</v>
      </c>
      <c r="AE776" t="s">
        <v>33</v>
      </c>
      <c r="AF776" t="str">
        <f t="shared" si="103"/>
        <v>Perfect Match</v>
      </c>
    </row>
    <row r="777" spans="1:32">
      <c r="A777" t="str">
        <f>IF(OR(I777&lt;0, ISTEXT(W777), ISTEXT(Y777)), "Invalid", IF(OR(B777="Conflicting Duplicate", M777="Unknown", S777="Unknown"), "Warning", "Valid"))</f>
        <v>Valid</v>
      </c>
      <c r="B777" t="str">
        <f t="shared" si="97"/>
        <v>-</v>
      </c>
      <c r="C777" t="s">
        <v>1938</v>
      </c>
      <c r="D777" s="2">
        <v>45665</v>
      </c>
      <c r="E777" t="str">
        <f t="shared" si="98"/>
        <v>January</v>
      </c>
      <c r="F777">
        <f t="shared" si="99"/>
        <v>2025</v>
      </c>
      <c r="G777" s="2">
        <v>45992</v>
      </c>
      <c r="H777" t="s">
        <v>1939</v>
      </c>
      <c r="I777">
        <f t="shared" si="100"/>
        <v>327</v>
      </c>
      <c r="J777" t="s">
        <v>2795</v>
      </c>
      <c r="K777" t="s">
        <v>132</v>
      </c>
      <c r="L777" t="s">
        <v>95</v>
      </c>
      <c r="M777" t="s">
        <v>54</v>
      </c>
      <c r="N777" t="s">
        <v>175</v>
      </c>
      <c r="O777" t="s">
        <v>176</v>
      </c>
      <c r="P777" t="s">
        <v>41</v>
      </c>
      <c r="Q777" t="s">
        <v>66</v>
      </c>
      <c r="R777" t="s">
        <v>1940</v>
      </c>
      <c r="S777" t="s">
        <v>59</v>
      </c>
      <c r="T777">
        <v>7</v>
      </c>
      <c r="U777">
        <v>4337.4799999999996</v>
      </c>
      <c r="V777">
        <v>0</v>
      </c>
      <c r="W777">
        <v>0</v>
      </c>
      <c r="X777">
        <v>30362.36</v>
      </c>
      <c r="Y777">
        <f t="shared" si="96"/>
        <v>30362.36</v>
      </c>
      <c r="Z777">
        <v>25065.4</v>
      </c>
      <c r="AA777">
        <v>5296.96</v>
      </c>
      <c r="AB777">
        <f t="shared" si="101"/>
        <v>5296.9599999999991</v>
      </c>
      <c r="AC777" s="8">
        <f t="shared" si="102"/>
        <v>0.17445811195177183</v>
      </c>
      <c r="AD777" t="s">
        <v>32</v>
      </c>
      <c r="AE777" t="s">
        <v>33</v>
      </c>
      <c r="AF777" t="str">
        <f t="shared" si="103"/>
        <v>Perfect Match</v>
      </c>
    </row>
    <row r="778" spans="1:32">
      <c r="A778" s="6" t="str">
        <f>IF(OR(I778&lt;0, ISTEXT(W778), ISTEXT(Y778)), "Invalid", IF(OR(B778="Conflicting Duplicate", M778="Unknown", S778="Unknown"), "Warning", "Valid"))</f>
        <v>Invalid</v>
      </c>
      <c r="B778" t="str">
        <f t="shared" si="97"/>
        <v>-</v>
      </c>
      <c r="C778" t="s">
        <v>1943</v>
      </c>
      <c r="D778" s="2">
        <v>45876</v>
      </c>
      <c r="E778" t="str">
        <f t="shared" si="98"/>
        <v>August</v>
      </c>
      <c r="F778">
        <f t="shared" si="99"/>
        <v>2025</v>
      </c>
      <c r="G778" s="2">
        <v>45853</v>
      </c>
      <c r="H778" t="s">
        <v>1944</v>
      </c>
      <c r="I778" s="7">
        <f t="shared" si="100"/>
        <v>-23</v>
      </c>
      <c r="J778" s="7" t="s">
        <v>2802</v>
      </c>
      <c r="K778" t="s">
        <v>62</v>
      </c>
      <c r="L778" t="s">
        <v>37</v>
      </c>
      <c r="M778" t="s">
        <v>25</v>
      </c>
      <c r="N778" t="s">
        <v>26</v>
      </c>
      <c r="O778" t="s">
        <v>27</v>
      </c>
      <c r="P778" t="s">
        <v>28</v>
      </c>
      <c r="Q778" t="s">
        <v>153</v>
      </c>
      <c r="R778" t="s">
        <v>1945</v>
      </c>
      <c r="S778" t="s">
        <v>44</v>
      </c>
      <c r="T778">
        <v>8</v>
      </c>
      <c r="U778">
        <v>655.28</v>
      </c>
      <c r="V778">
        <v>0.1</v>
      </c>
      <c r="W778">
        <v>0.1</v>
      </c>
      <c r="X778">
        <v>4718.0200000000004</v>
      </c>
      <c r="Y778">
        <f t="shared" si="96"/>
        <v>4718.0200000000004</v>
      </c>
      <c r="Z778">
        <v>3908.23</v>
      </c>
      <c r="AA778">
        <v>809.79</v>
      </c>
      <c r="AB778">
        <f t="shared" si="101"/>
        <v>809.79000000000042</v>
      </c>
      <c r="AC778" s="8">
        <f t="shared" si="102"/>
        <v>0.17163767851768333</v>
      </c>
      <c r="AD778" t="s">
        <v>32</v>
      </c>
      <c r="AE778" t="s">
        <v>33</v>
      </c>
      <c r="AF778" t="str">
        <f t="shared" si="103"/>
        <v>Perfect Match</v>
      </c>
    </row>
    <row r="779" spans="1:32">
      <c r="A779" s="6" t="str">
        <f>IF(OR(I779&lt;0, ISTEXT(W779), ISTEXT(Y779)), "Invalid", IF(OR(B779="Conflicting Duplicate", M779="Unknown", S779="Unknown"), "Warning", "Valid"))</f>
        <v>Warning</v>
      </c>
      <c r="B779" t="str">
        <f t="shared" si="97"/>
        <v>-</v>
      </c>
      <c r="C779" t="s">
        <v>1946</v>
      </c>
      <c r="D779" s="2">
        <v>45753</v>
      </c>
      <c r="E779" t="str">
        <f t="shared" si="98"/>
        <v>April</v>
      </c>
      <c r="F779">
        <f t="shared" si="99"/>
        <v>2025</v>
      </c>
      <c r="G779" s="2">
        <v>45760</v>
      </c>
      <c r="H779" t="s">
        <v>1947</v>
      </c>
      <c r="I779">
        <f t="shared" si="100"/>
        <v>7</v>
      </c>
      <c r="J779" t="s">
        <v>2795</v>
      </c>
      <c r="K779" t="s">
        <v>89</v>
      </c>
      <c r="L779" t="s">
        <v>24</v>
      </c>
      <c r="M779" s="4" t="s">
        <v>2790</v>
      </c>
      <c r="N779" t="s">
        <v>39</v>
      </c>
      <c r="O779" t="s">
        <v>40</v>
      </c>
      <c r="P779" t="s">
        <v>74</v>
      </c>
      <c r="Q779" t="s">
        <v>171</v>
      </c>
      <c r="R779" t="s">
        <v>1948</v>
      </c>
      <c r="S779" t="s">
        <v>59</v>
      </c>
      <c r="T779">
        <v>1</v>
      </c>
      <c r="U779">
        <v>3844.01</v>
      </c>
      <c r="V779">
        <v>0</v>
      </c>
      <c r="W779">
        <v>0</v>
      </c>
      <c r="X779">
        <v>3844.01</v>
      </c>
      <c r="Y779">
        <f t="shared" si="96"/>
        <v>3844.01</v>
      </c>
      <c r="Z779">
        <v>2195.79</v>
      </c>
      <c r="AA779">
        <v>1648.22</v>
      </c>
      <c r="AB779">
        <f t="shared" si="101"/>
        <v>1648.2200000000003</v>
      </c>
      <c r="AC779" s="8">
        <f t="shared" si="102"/>
        <v>0.42877619985379856</v>
      </c>
      <c r="AD779" t="s">
        <v>32</v>
      </c>
      <c r="AE779" t="s">
        <v>33</v>
      </c>
      <c r="AF779" t="str">
        <f t="shared" si="103"/>
        <v>Perfect Match</v>
      </c>
    </row>
    <row r="780" spans="1:32">
      <c r="A780" t="str">
        <f>IF(OR(I780&lt;0, ISTEXT(W780), ISTEXT(Y780)), "Invalid", IF(OR(B780="Conflicting Duplicate", M780="Unknown", S780="Unknown"), "Warning", "Valid"))</f>
        <v>Valid</v>
      </c>
      <c r="B780" t="str">
        <f t="shared" si="97"/>
        <v>-</v>
      </c>
      <c r="C780" t="s">
        <v>1976</v>
      </c>
      <c r="D780" s="2">
        <v>45686</v>
      </c>
      <c r="E780" t="str">
        <f t="shared" si="98"/>
        <v>January</v>
      </c>
      <c r="F780">
        <f t="shared" si="99"/>
        <v>2025</v>
      </c>
      <c r="G780" s="2">
        <v>45694</v>
      </c>
      <c r="H780" t="s">
        <v>1977</v>
      </c>
      <c r="I780">
        <f t="shared" si="100"/>
        <v>8</v>
      </c>
      <c r="J780" t="s">
        <v>2795</v>
      </c>
      <c r="K780" t="s">
        <v>71</v>
      </c>
      <c r="L780" t="s">
        <v>24</v>
      </c>
      <c r="M780" t="s">
        <v>38</v>
      </c>
      <c r="N780" t="s">
        <v>145</v>
      </c>
      <c r="O780" t="s">
        <v>146</v>
      </c>
      <c r="P780" t="s">
        <v>28</v>
      </c>
      <c r="Q780" t="s">
        <v>124</v>
      </c>
      <c r="R780" t="s">
        <v>1978</v>
      </c>
      <c r="S780" t="s">
        <v>59</v>
      </c>
      <c r="T780">
        <v>4</v>
      </c>
      <c r="U780">
        <v>2759.01</v>
      </c>
      <c r="V780">
        <v>0.05</v>
      </c>
      <c r="W780">
        <v>0.05</v>
      </c>
      <c r="X780">
        <v>10484.24</v>
      </c>
      <c r="Y780">
        <f t="shared" si="96"/>
        <v>10484.24</v>
      </c>
      <c r="Z780">
        <v>6680.15</v>
      </c>
      <c r="AA780">
        <v>3804.09</v>
      </c>
      <c r="AB780">
        <f t="shared" si="101"/>
        <v>3804.09</v>
      </c>
      <c r="AC780" s="8">
        <f t="shared" si="102"/>
        <v>0.3628388896095473</v>
      </c>
      <c r="AD780" t="s">
        <v>32</v>
      </c>
      <c r="AE780" t="s">
        <v>33</v>
      </c>
      <c r="AF780" t="str">
        <f t="shared" si="103"/>
        <v>Perfect Match</v>
      </c>
    </row>
    <row r="781" spans="1:32">
      <c r="A781" t="str">
        <f>IF(OR(I781&lt;0, ISTEXT(W781), ISTEXT(Y781)), "Invalid", IF(OR(B781="Conflicting Duplicate", M781="Unknown", S781="Unknown"), "Warning", "Valid"))</f>
        <v>Valid</v>
      </c>
      <c r="B781" t="str">
        <f t="shared" si="97"/>
        <v>-</v>
      </c>
      <c r="C781" t="s">
        <v>1988</v>
      </c>
      <c r="D781" s="2">
        <v>45753</v>
      </c>
      <c r="E781" t="str">
        <f t="shared" si="98"/>
        <v>April</v>
      </c>
      <c r="F781">
        <f t="shared" si="99"/>
        <v>2025</v>
      </c>
      <c r="G781" s="2">
        <v>45815</v>
      </c>
      <c r="H781" t="s">
        <v>1989</v>
      </c>
      <c r="I781">
        <f t="shared" si="100"/>
        <v>62</v>
      </c>
      <c r="J781" t="s">
        <v>2795</v>
      </c>
      <c r="K781" t="s">
        <v>132</v>
      </c>
      <c r="L781" t="s">
        <v>95</v>
      </c>
      <c r="M781" t="s">
        <v>38</v>
      </c>
      <c r="N781" t="s">
        <v>166</v>
      </c>
      <c r="O781" t="s">
        <v>167</v>
      </c>
      <c r="P781" t="s">
        <v>74</v>
      </c>
      <c r="Q781" t="s">
        <v>274</v>
      </c>
      <c r="R781" t="s">
        <v>1990</v>
      </c>
      <c r="S781" t="s">
        <v>59</v>
      </c>
      <c r="T781">
        <v>8</v>
      </c>
      <c r="U781">
        <v>1434.13</v>
      </c>
      <c r="V781">
        <v>0</v>
      </c>
      <c r="W781">
        <v>0</v>
      </c>
      <c r="X781">
        <v>11473.04</v>
      </c>
      <c r="Y781">
        <f t="shared" si="96"/>
        <v>11473.04</v>
      </c>
      <c r="Z781">
        <v>8931.33</v>
      </c>
      <c r="AA781">
        <v>2541.71</v>
      </c>
      <c r="AB781">
        <f t="shared" si="101"/>
        <v>2541.7100000000009</v>
      </c>
      <c r="AC781" s="8">
        <f t="shared" si="102"/>
        <v>0.22153762211236086</v>
      </c>
      <c r="AD781" t="s">
        <v>111</v>
      </c>
      <c r="AE781" t="s">
        <v>103</v>
      </c>
      <c r="AF781" t="str">
        <f t="shared" si="103"/>
        <v>Perfect Match</v>
      </c>
    </row>
    <row r="782" spans="1:32">
      <c r="A782" t="str">
        <f>IF(OR(I782&lt;0, ISTEXT(W782), ISTEXT(Y782)), "Invalid", IF(OR(B782="Conflicting Duplicate", M782="Unknown", S782="Unknown"), "Warning", "Valid"))</f>
        <v>Valid</v>
      </c>
      <c r="B782" t="str">
        <f t="shared" si="97"/>
        <v>-</v>
      </c>
      <c r="C782" t="s">
        <v>1991</v>
      </c>
      <c r="D782" s="2">
        <v>45701</v>
      </c>
      <c r="E782" t="str">
        <f t="shared" si="98"/>
        <v>February</v>
      </c>
      <c r="F782">
        <f t="shared" si="99"/>
        <v>2025</v>
      </c>
      <c r="G782" s="2">
        <v>45709</v>
      </c>
      <c r="H782" t="s">
        <v>1992</v>
      </c>
      <c r="I782">
        <f t="shared" si="100"/>
        <v>8</v>
      </c>
      <c r="J782" t="s">
        <v>2795</v>
      </c>
      <c r="K782" t="s">
        <v>23</v>
      </c>
      <c r="L782" t="s">
        <v>37</v>
      </c>
      <c r="M782" t="s">
        <v>54</v>
      </c>
      <c r="N782" t="s">
        <v>185</v>
      </c>
      <c r="O782" t="s">
        <v>186</v>
      </c>
      <c r="P782" t="s">
        <v>74</v>
      </c>
      <c r="Q782" t="s">
        <v>171</v>
      </c>
      <c r="R782" t="s">
        <v>1993</v>
      </c>
      <c r="S782" t="s">
        <v>31</v>
      </c>
      <c r="T782">
        <v>2</v>
      </c>
      <c r="U782">
        <v>2360.02</v>
      </c>
      <c r="V782">
        <v>0.15</v>
      </c>
      <c r="W782">
        <v>0.15</v>
      </c>
      <c r="X782">
        <v>4012.03</v>
      </c>
      <c r="Y782">
        <f t="shared" si="96"/>
        <v>4012.03</v>
      </c>
      <c r="Z782">
        <v>3142.92</v>
      </c>
      <c r="AA782">
        <v>869.11</v>
      </c>
      <c r="AB782">
        <f t="shared" si="101"/>
        <v>869.11000000000013</v>
      </c>
      <c r="AC782" s="8">
        <f t="shared" si="102"/>
        <v>0.21662599731308094</v>
      </c>
      <c r="AD782" t="s">
        <v>111</v>
      </c>
      <c r="AE782" t="s">
        <v>68</v>
      </c>
      <c r="AF782" t="str">
        <f t="shared" si="103"/>
        <v>Perfect Match</v>
      </c>
    </row>
    <row r="783" spans="1:32">
      <c r="A783" t="str">
        <f>IF(OR(I783&lt;0, ISTEXT(W783), ISTEXT(Y783)), "Invalid", IF(OR(B783="Conflicting Duplicate", M783="Unknown", S783="Unknown"), "Warning", "Valid"))</f>
        <v>Valid</v>
      </c>
      <c r="B783" t="str">
        <f t="shared" si="97"/>
        <v>-</v>
      </c>
      <c r="C783" t="s">
        <v>1994</v>
      </c>
      <c r="D783" s="2">
        <v>45935</v>
      </c>
      <c r="E783" t="str">
        <f t="shared" si="98"/>
        <v>October</v>
      </c>
      <c r="F783">
        <f t="shared" si="99"/>
        <v>2025</v>
      </c>
      <c r="G783" s="2">
        <v>45942</v>
      </c>
      <c r="H783" t="s">
        <v>1995</v>
      </c>
      <c r="I783">
        <f t="shared" si="100"/>
        <v>7</v>
      </c>
      <c r="J783" t="s">
        <v>2795</v>
      </c>
      <c r="K783" t="s">
        <v>62</v>
      </c>
      <c r="L783" t="s">
        <v>95</v>
      </c>
      <c r="M783" t="s">
        <v>38</v>
      </c>
      <c r="N783" t="s">
        <v>228</v>
      </c>
      <c r="O783" t="s">
        <v>229</v>
      </c>
      <c r="P783" t="s">
        <v>74</v>
      </c>
      <c r="Q783" t="s">
        <v>75</v>
      </c>
      <c r="R783" t="s">
        <v>1996</v>
      </c>
      <c r="S783" t="s">
        <v>44</v>
      </c>
      <c r="T783">
        <v>7</v>
      </c>
      <c r="U783">
        <v>806.67</v>
      </c>
      <c r="V783">
        <v>0.05</v>
      </c>
      <c r="W783">
        <v>0.05</v>
      </c>
      <c r="X783">
        <v>5364.36</v>
      </c>
      <c r="Y783">
        <f t="shared" si="96"/>
        <v>5364.36</v>
      </c>
      <c r="Z783">
        <v>4391.29</v>
      </c>
      <c r="AA783">
        <v>973.07</v>
      </c>
      <c r="AB783">
        <f t="shared" si="101"/>
        <v>973.06999999999971</v>
      </c>
      <c r="AC783" s="8">
        <f t="shared" si="102"/>
        <v>0.18139535750769892</v>
      </c>
      <c r="AD783" t="s">
        <v>32</v>
      </c>
      <c r="AE783" t="s">
        <v>33</v>
      </c>
      <c r="AF783" t="str">
        <f t="shared" si="103"/>
        <v>Perfect Match</v>
      </c>
    </row>
    <row r="784" spans="1:32">
      <c r="A784" t="str">
        <f>IF(OR(I784&lt;0, ISTEXT(W784), ISTEXT(Y784)), "Invalid", IF(OR(B784="Conflicting Duplicate", M784="Unknown", S784="Unknown"), "Warning", "Valid"))</f>
        <v>Valid</v>
      </c>
      <c r="B784" t="str">
        <f t="shared" si="97"/>
        <v>-</v>
      </c>
      <c r="C784" t="s">
        <v>1997</v>
      </c>
      <c r="D784" s="2">
        <v>45910</v>
      </c>
      <c r="E784" t="str">
        <f t="shared" si="98"/>
        <v>September</v>
      </c>
      <c r="F784">
        <f t="shared" si="99"/>
        <v>2025</v>
      </c>
      <c r="G784" s="2">
        <v>45914</v>
      </c>
      <c r="H784" t="s">
        <v>1998</v>
      </c>
      <c r="I784">
        <f t="shared" si="100"/>
        <v>4</v>
      </c>
      <c r="J784" t="s">
        <v>2795</v>
      </c>
      <c r="K784" t="s">
        <v>53</v>
      </c>
      <c r="L784" t="s">
        <v>95</v>
      </c>
      <c r="M784" t="s">
        <v>63</v>
      </c>
      <c r="N784" t="s">
        <v>180</v>
      </c>
      <c r="O784" t="s">
        <v>181</v>
      </c>
      <c r="P784" t="s">
        <v>41</v>
      </c>
      <c r="Q784" t="s">
        <v>42</v>
      </c>
      <c r="R784" t="s">
        <v>1999</v>
      </c>
      <c r="S784" t="s">
        <v>44</v>
      </c>
      <c r="T784">
        <v>3</v>
      </c>
      <c r="U784">
        <v>4198.46</v>
      </c>
      <c r="V784">
        <v>0.15</v>
      </c>
      <c r="W784">
        <v>0.15</v>
      </c>
      <c r="X784">
        <v>10706.07</v>
      </c>
      <c r="Y784">
        <f t="shared" si="96"/>
        <v>10706.07</v>
      </c>
      <c r="Z784">
        <v>5927.1</v>
      </c>
      <c r="AA784">
        <v>4778.97</v>
      </c>
      <c r="AB784">
        <f t="shared" si="101"/>
        <v>4778.9699999999993</v>
      </c>
      <c r="AC784" s="8">
        <f t="shared" si="102"/>
        <v>0.44637948378816872</v>
      </c>
      <c r="AD784" t="s">
        <v>32</v>
      </c>
      <c r="AE784" t="s">
        <v>33</v>
      </c>
      <c r="AF784" t="str">
        <f t="shared" si="103"/>
        <v>Perfect Match</v>
      </c>
    </row>
    <row r="785" spans="1:32">
      <c r="A785" t="str">
        <f>IF(OR(I785&lt;0, ISTEXT(W785), ISTEXT(Y785)), "Invalid", IF(OR(B785="Conflicting Duplicate", M785="Unknown", S785="Unknown"), "Warning", "Valid"))</f>
        <v>Valid</v>
      </c>
      <c r="B785" t="str">
        <f t="shared" si="97"/>
        <v>-</v>
      </c>
      <c r="C785" t="s">
        <v>2006</v>
      </c>
      <c r="D785" s="2">
        <v>45762</v>
      </c>
      <c r="E785" t="str">
        <f t="shared" si="98"/>
        <v>April</v>
      </c>
      <c r="F785">
        <f t="shared" si="99"/>
        <v>2025</v>
      </c>
      <c r="G785" s="2">
        <v>45763</v>
      </c>
      <c r="H785" t="s">
        <v>2007</v>
      </c>
      <c r="I785">
        <f t="shared" si="100"/>
        <v>1</v>
      </c>
      <c r="J785" t="s">
        <v>2795</v>
      </c>
      <c r="K785" t="s">
        <v>132</v>
      </c>
      <c r="L785" t="s">
        <v>37</v>
      </c>
      <c r="M785" t="s">
        <v>54</v>
      </c>
      <c r="N785" t="s">
        <v>175</v>
      </c>
      <c r="O785" t="s">
        <v>176</v>
      </c>
      <c r="P785" t="s">
        <v>41</v>
      </c>
      <c r="Q785" t="s">
        <v>57</v>
      </c>
      <c r="R785" t="s">
        <v>2008</v>
      </c>
      <c r="S785" t="s">
        <v>50</v>
      </c>
      <c r="T785">
        <v>5</v>
      </c>
      <c r="U785">
        <v>2850.53</v>
      </c>
      <c r="V785">
        <v>0</v>
      </c>
      <c r="W785">
        <v>0</v>
      </c>
      <c r="X785">
        <v>14252.65</v>
      </c>
      <c r="Y785">
        <f t="shared" si="96"/>
        <v>14252.65</v>
      </c>
      <c r="Z785">
        <v>11558.31</v>
      </c>
      <c r="AA785">
        <v>2694.34</v>
      </c>
      <c r="AB785">
        <f t="shared" si="101"/>
        <v>2694.34</v>
      </c>
      <c r="AC785" s="8">
        <f t="shared" si="102"/>
        <v>0.18904133617257143</v>
      </c>
      <c r="AD785" t="s">
        <v>32</v>
      </c>
      <c r="AE785" t="s">
        <v>33</v>
      </c>
      <c r="AF785" t="str">
        <f t="shared" si="103"/>
        <v>Perfect Match</v>
      </c>
    </row>
    <row r="786" spans="1:32">
      <c r="A786" t="str">
        <f>IF(OR(I786&lt;0, ISTEXT(W786), ISTEXT(Y786)), "Invalid", IF(OR(B786="Conflicting Duplicate", M786="Unknown", S786="Unknown"), "Warning", "Valid"))</f>
        <v>Valid</v>
      </c>
      <c r="B786" t="str">
        <f t="shared" si="97"/>
        <v>-</v>
      </c>
      <c r="C786" t="s">
        <v>2009</v>
      </c>
      <c r="D786" s="2">
        <v>45765</v>
      </c>
      <c r="E786" t="str">
        <f t="shared" si="98"/>
        <v>April</v>
      </c>
      <c r="F786">
        <f t="shared" si="99"/>
        <v>2025</v>
      </c>
      <c r="G786" s="2">
        <v>45767</v>
      </c>
      <c r="H786" t="s">
        <v>2010</v>
      </c>
      <c r="I786">
        <f t="shared" si="100"/>
        <v>2</v>
      </c>
      <c r="J786" t="s">
        <v>2795</v>
      </c>
      <c r="K786" t="s">
        <v>128</v>
      </c>
      <c r="L786" t="s">
        <v>37</v>
      </c>
      <c r="M786" t="s">
        <v>54</v>
      </c>
      <c r="N786" t="s">
        <v>247</v>
      </c>
      <c r="O786" t="s">
        <v>248</v>
      </c>
      <c r="P786" t="s">
        <v>74</v>
      </c>
      <c r="Q786" t="s">
        <v>75</v>
      </c>
      <c r="R786" t="s">
        <v>2011</v>
      </c>
      <c r="S786" t="s">
        <v>31</v>
      </c>
      <c r="T786">
        <v>1</v>
      </c>
      <c r="U786">
        <v>1626.08</v>
      </c>
      <c r="V786">
        <v>0.15</v>
      </c>
      <c r="W786">
        <v>0.15</v>
      </c>
      <c r="X786">
        <v>1382.17</v>
      </c>
      <c r="Y786">
        <f t="shared" si="96"/>
        <v>1382.17</v>
      </c>
      <c r="Z786">
        <v>810.03</v>
      </c>
      <c r="AA786">
        <v>572.14</v>
      </c>
      <c r="AB786">
        <f t="shared" si="101"/>
        <v>572.1400000000001</v>
      </c>
      <c r="AC786" s="8">
        <f t="shared" si="102"/>
        <v>0.41394329206971653</v>
      </c>
      <c r="AD786" t="s">
        <v>32</v>
      </c>
      <c r="AE786" t="s">
        <v>33</v>
      </c>
      <c r="AF786" t="str">
        <f t="shared" si="103"/>
        <v>Perfect Match</v>
      </c>
    </row>
    <row r="787" spans="1:32">
      <c r="A787" t="str">
        <f>IF(OR(I787&lt;0, ISTEXT(W787), ISTEXT(Y787)), "Invalid", IF(OR(B787="Conflicting Duplicate", M787="Unknown", S787="Unknown"), "Warning", "Valid"))</f>
        <v>Valid</v>
      </c>
      <c r="B787" t="str">
        <f t="shared" si="97"/>
        <v>-</v>
      </c>
      <c r="C787" t="s">
        <v>2012</v>
      </c>
      <c r="D787" s="2">
        <v>45668</v>
      </c>
      <c r="E787" t="str">
        <f t="shared" si="98"/>
        <v>January</v>
      </c>
      <c r="F787">
        <f t="shared" si="99"/>
        <v>2025</v>
      </c>
      <c r="G787" s="2">
        <v>45669</v>
      </c>
      <c r="H787" t="s">
        <v>2013</v>
      </c>
      <c r="I787">
        <f t="shared" si="100"/>
        <v>1</v>
      </c>
      <c r="J787" t="s">
        <v>2795</v>
      </c>
      <c r="K787" t="s">
        <v>89</v>
      </c>
      <c r="L787" t="s">
        <v>24</v>
      </c>
      <c r="M787" t="s">
        <v>54</v>
      </c>
      <c r="N787" t="s">
        <v>55</v>
      </c>
      <c r="O787" t="s">
        <v>56</v>
      </c>
      <c r="P787" t="s">
        <v>41</v>
      </c>
      <c r="Q787" t="s">
        <v>66</v>
      </c>
      <c r="R787" t="s">
        <v>2014</v>
      </c>
      <c r="S787" t="s">
        <v>31</v>
      </c>
      <c r="T787">
        <v>4</v>
      </c>
      <c r="U787">
        <v>2427.15</v>
      </c>
      <c r="V787">
        <v>0.05</v>
      </c>
      <c r="W787">
        <v>0.05</v>
      </c>
      <c r="X787">
        <v>9223.17</v>
      </c>
      <c r="Y787">
        <f t="shared" si="96"/>
        <v>9223.17</v>
      </c>
      <c r="Z787">
        <v>5103.7</v>
      </c>
      <c r="AA787">
        <v>4119.47</v>
      </c>
      <c r="AB787">
        <f t="shared" si="101"/>
        <v>4119.47</v>
      </c>
      <c r="AC787" s="8">
        <f t="shared" si="102"/>
        <v>0.44664361602355807</v>
      </c>
      <c r="AD787" t="s">
        <v>32</v>
      </c>
      <c r="AE787" t="s">
        <v>33</v>
      </c>
      <c r="AF787" t="str">
        <f t="shared" si="103"/>
        <v>Perfect Match</v>
      </c>
    </row>
    <row r="788" spans="1:32">
      <c r="A788" t="str">
        <f>IF(OR(I788&lt;0, ISTEXT(W788), ISTEXT(Y788)), "Invalid", IF(OR(B788="Conflicting Duplicate", M788="Unknown", S788="Unknown"), "Warning", "Valid"))</f>
        <v>Valid</v>
      </c>
      <c r="B788" t="str">
        <f t="shared" si="97"/>
        <v>-</v>
      </c>
      <c r="C788" t="s">
        <v>2030</v>
      </c>
      <c r="D788" s="2">
        <v>45671</v>
      </c>
      <c r="E788" t="str">
        <f t="shared" si="98"/>
        <v>January</v>
      </c>
      <c r="F788">
        <f t="shared" si="99"/>
        <v>2025</v>
      </c>
      <c r="G788" s="2">
        <v>45674</v>
      </c>
      <c r="H788" t="s">
        <v>2031</v>
      </c>
      <c r="I788">
        <f t="shared" si="100"/>
        <v>3</v>
      </c>
      <c r="J788" t="s">
        <v>2795</v>
      </c>
      <c r="K788" t="s">
        <v>71</v>
      </c>
      <c r="L788" t="s">
        <v>24</v>
      </c>
      <c r="M788" t="s">
        <v>63</v>
      </c>
      <c r="N788" t="s">
        <v>190</v>
      </c>
      <c r="O788" t="s">
        <v>191</v>
      </c>
      <c r="P788" t="s">
        <v>28</v>
      </c>
      <c r="Q788" t="s">
        <v>124</v>
      </c>
      <c r="R788" t="s">
        <v>2032</v>
      </c>
      <c r="S788" t="s">
        <v>50</v>
      </c>
      <c r="T788">
        <v>1</v>
      </c>
      <c r="U788">
        <v>1584.12</v>
      </c>
      <c r="V788">
        <v>0.2</v>
      </c>
      <c r="W788">
        <v>0.2</v>
      </c>
      <c r="X788">
        <v>1267.3</v>
      </c>
      <c r="Y788">
        <f t="shared" si="96"/>
        <v>1267.3</v>
      </c>
      <c r="Z788">
        <v>923.53</v>
      </c>
      <c r="AA788">
        <v>343.77</v>
      </c>
      <c r="AB788">
        <f t="shared" si="101"/>
        <v>343.77</v>
      </c>
      <c r="AC788" s="8">
        <f t="shared" si="102"/>
        <v>0.27126173755227651</v>
      </c>
      <c r="AD788" t="s">
        <v>32</v>
      </c>
      <c r="AE788" t="s">
        <v>33</v>
      </c>
      <c r="AF788" t="str">
        <f t="shared" si="103"/>
        <v>Perfect Match</v>
      </c>
    </row>
    <row r="789" spans="1:32">
      <c r="A789" t="str">
        <f>IF(OR(I789&lt;0, ISTEXT(W789), ISTEXT(Y789)), "Invalid", IF(OR(B789="Conflicting Duplicate", M789="Unknown", S789="Unknown"), "Warning", "Valid"))</f>
        <v>Valid</v>
      </c>
      <c r="B789" t="str">
        <f t="shared" si="97"/>
        <v>-</v>
      </c>
      <c r="C789" t="s">
        <v>2033</v>
      </c>
      <c r="D789" s="2">
        <v>45756</v>
      </c>
      <c r="E789" t="str">
        <f t="shared" si="98"/>
        <v>April</v>
      </c>
      <c r="F789">
        <f t="shared" si="99"/>
        <v>2025</v>
      </c>
      <c r="G789" s="2">
        <v>45761</v>
      </c>
      <c r="H789" t="s">
        <v>2034</v>
      </c>
      <c r="I789">
        <f t="shared" si="100"/>
        <v>5</v>
      </c>
      <c r="J789" t="s">
        <v>2795</v>
      </c>
      <c r="K789" t="s">
        <v>23</v>
      </c>
      <c r="L789" t="s">
        <v>24</v>
      </c>
      <c r="M789" t="s">
        <v>25</v>
      </c>
      <c r="N789" t="s">
        <v>350</v>
      </c>
      <c r="O789" t="s">
        <v>351</v>
      </c>
      <c r="P789" t="s">
        <v>41</v>
      </c>
      <c r="Q789" t="s">
        <v>57</v>
      </c>
      <c r="R789" t="s">
        <v>2035</v>
      </c>
      <c r="S789" t="s">
        <v>44</v>
      </c>
      <c r="T789">
        <v>2</v>
      </c>
      <c r="U789">
        <v>3202.87</v>
      </c>
      <c r="V789">
        <v>0</v>
      </c>
      <c r="W789">
        <v>0</v>
      </c>
      <c r="X789">
        <v>6405.74</v>
      </c>
      <c r="Y789">
        <f t="shared" si="96"/>
        <v>6405.74</v>
      </c>
      <c r="Z789">
        <v>3561.87</v>
      </c>
      <c r="AA789">
        <v>2843.87</v>
      </c>
      <c r="AB789">
        <f t="shared" si="101"/>
        <v>2843.87</v>
      </c>
      <c r="AC789" s="8">
        <f t="shared" si="102"/>
        <v>0.44395651400150488</v>
      </c>
      <c r="AD789" t="s">
        <v>32</v>
      </c>
      <c r="AE789" t="s">
        <v>33</v>
      </c>
      <c r="AF789" t="str">
        <f t="shared" si="103"/>
        <v>Perfect Match</v>
      </c>
    </row>
    <row r="790" spans="1:32">
      <c r="A790" t="str">
        <f>IF(OR(I790&lt;0, ISTEXT(W790), ISTEXT(Y790)), "Invalid", IF(OR(B790="Conflicting Duplicate", M790="Unknown", S790="Unknown"), "Warning", "Valid"))</f>
        <v>Valid</v>
      </c>
      <c r="B790" t="str">
        <f t="shared" si="97"/>
        <v>-</v>
      </c>
      <c r="C790" t="s">
        <v>2042</v>
      </c>
      <c r="D790" s="2">
        <v>45757</v>
      </c>
      <c r="E790" t="str">
        <f t="shared" si="98"/>
        <v>April</v>
      </c>
      <c r="F790">
        <f t="shared" si="99"/>
        <v>2025</v>
      </c>
      <c r="G790" s="2">
        <v>45764</v>
      </c>
      <c r="H790" t="s">
        <v>2043</v>
      </c>
      <c r="I790">
        <f t="shared" si="100"/>
        <v>7</v>
      </c>
      <c r="J790" t="s">
        <v>2795</v>
      </c>
      <c r="K790" t="s">
        <v>71</v>
      </c>
      <c r="L790" t="s">
        <v>24</v>
      </c>
      <c r="M790" t="s">
        <v>38</v>
      </c>
      <c r="N790" t="s">
        <v>99</v>
      </c>
      <c r="O790" t="s">
        <v>100</v>
      </c>
      <c r="P790" t="s">
        <v>41</v>
      </c>
      <c r="Q790" t="s">
        <v>66</v>
      </c>
      <c r="R790" t="s">
        <v>2044</v>
      </c>
      <c r="S790" t="s">
        <v>59</v>
      </c>
      <c r="T790">
        <v>4</v>
      </c>
      <c r="U790">
        <v>3750.02</v>
      </c>
      <c r="V790">
        <v>0.05</v>
      </c>
      <c r="W790">
        <v>0.05</v>
      </c>
      <c r="X790">
        <v>14250.08</v>
      </c>
      <c r="Y790">
        <f t="shared" si="96"/>
        <v>14250.08</v>
      </c>
      <c r="Z790">
        <v>10914.92</v>
      </c>
      <c r="AA790">
        <v>3335.16</v>
      </c>
      <c r="AB790">
        <f t="shared" si="101"/>
        <v>3335.16</v>
      </c>
      <c r="AC790" s="8">
        <f t="shared" si="102"/>
        <v>0.23404500185262117</v>
      </c>
      <c r="AD790" t="s">
        <v>32</v>
      </c>
      <c r="AE790" t="s">
        <v>33</v>
      </c>
      <c r="AF790" t="str">
        <f t="shared" si="103"/>
        <v>Perfect Match</v>
      </c>
    </row>
    <row r="791" spans="1:32">
      <c r="A791" t="str">
        <f>IF(OR(I791&lt;0, ISTEXT(W791), ISTEXT(Y791)), "Invalid", IF(OR(B791="Conflicting Duplicate", M791="Unknown", S791="Unknown"), "Warning", "Valid"))</f>
        <v>Valid</v>
      </c>
      <c r="B791" t="str">
        <f t="shared" si="97"/>
        <v>-</v>
      </c>
      <c r="C791" t="s">
        <v>2051</v>
      </c>
      <c r="D791" s="2">
        <v>45658</v>
      </c>
      <c r="E791" t="str">
        <f t="shared" si="98"/>
        <v>January</v>
      </c>
      <c r="F791">
        <f t="shared" si="99"/>
        <v>2025</v>
      </c>
      <c r="G791" s="2">
        <v>45901</v>
      </c>
      <c r="H791" t="s">
        <v>2052</v>
      </c>
      <c r="I791">
        <f t="shared" si="100"/>
        <v>243</v>
      </c>
      <c r="J791" t="s">
        <v>2795</v>
      </c>
      <c r="K791" t="s">
        <v>141</v>
      </c>
      <c r="L791" t="s">
        <v>37</v>
      </c>
      <c r="M791" t="s">
        <v>25</v>
      </c>
      <c r="N791" t="s">
        <v>122</v>
      </c>
      <c r="O791" t="s">
        <v>123</v>
      </c>
      <c r="P791" t="s">
        <v>28</v>
      </c>
      <c r="Q791" t="s">
        <v>48</v>
      </c>
      <c r="R791" t="s">
        <v>2053</v>
      </c>
      <c r="S791" t="s">
        <v>50</v>
      </c>
      <c r="T791">
        <v>8</v>
      </c>
      <c r="U791">
        <v>2123.81</v>
      </c>
      <c r="V791">
        <v>0.15</v>
      </c>
      <c r="W791">
        <v>0.15</v>
      </c>
      <c r="X791">
        <v>14441.91</v>
      </c>
      <c r="Y791">
        <f t="shared" si="96"/>
        <v>14441.91</v>
      </c>
      <c r="Z791">
        <v>10872.89</v>
      </c>
      <c r="AA791">
        <v>3569.02</v>
      </c>
      <c r="AB791">
        <f t="shared" si="101"/>
        <v>3569.0200000000004</v>
      </c>
      <c r="AC791" s="8">
        <f t="shared" si="102"/>
        <v>0.24712936169800259</v>
      </c>
      <c r="AD791" t="s">
        <v>32</v>
      </c>
      <c r="AE791" t="s">
        <v>33</v>
      </c>
      <c r="AF791" t="str">
        <f t="shared" si="103"/>
        <v>Perfect Match</v>
      </c>
    </row>
    <row r="792" spans="1:32">
      <c r="A792" t="str">
        <f>IF(OR(I792&lt;0, ISTEXT(W792), ISTEXT(Y792)), "Invalid", IF(OR(B792="Conflicting Duplicate", M792="Unknown", S792="Unknown"), "Warning", "Valid"))</f>
        <v>Valid</v>
      </c>
      <c r="B792" t="str">
        <f t="shared" si="97"/>
        <v>-</v>
      </c>
      <c r="C792" t="s">
        <v>2057</v>
      </c>
      <c r="D792" s="2">
        <v>45880</v>
      </c>
      <c r="E792" t="str">
        <f t="shared" si="98"/>
        <v>August</v>
      </c>
      <c r="F792">
        <f t="shared" si="99"/>
        <v>2025</v>
      </c>
      <c r="G792" s="2">
        <v>45888</v>
      </c>
      <c r="H792" t="s">
        <v>2058</v>
      </c>
      <c r="I792">
        <f t="shared" si="100"/>
        <v>8</v>
      </c>
      <c r="J792" t="s">
        <v>2795</v>
      </c>
      <c r="K792" t="s">
        <v>264</v>
      </c>
      <c r="L792" t="s">
        <v>37</v>
      </c>
      <c r="M792" t="s">
        <v>54</v>
      </c>
      <c r="N792" t="s">
        <v>185</v>
      </c>
      <c r="O792" t="s">
        <v>186</v>
      </c>
      <c r="P792" t="s">
        <v>74</v>
      </c>
      <c r="Q792" t="s">
        <v>75</v>
      </c>
      <c r="R792" t="s">
        <v>2059</v>
      </c>
      <c r="S792" t="s">
        <v>59</v>
      </c>
      <c r="T792">
        <v>4</v>
      </c>
      <c r="U792">
        <v>2258.96</v>
      </c>
      <c r="V792">
        <v>0.25</v>
      </c>
      <c r="W792">
        <v>0.25</v>
      </c>
      <c r="X792">
        <v>6776.88</v>
      </c>
      <c r="Y792">
        <f t="shared" si="96"/>
        <v>6776.88</v>
      </c>
      <c r="Z792">
        <v>3836.24</v>
      </c>
      <c r="AA792">
        <v>2940.64</v>
      </c>
      <c r="AB792">
        <f t="shared" si="101"/>
        <v>2940.6400000000003</v>
      </c>
      <c r="AC792" s="8">
        <f t="shared" si="102"/>
        <v>0.43392239496641527</v>
      </c>
      <c r="AD792" t="s">
        <v>32</v>
      </c>
      <c r="AE792" t="s">
        <v>33</v>
      </c>
      <c r="AF792" t="str">
        <f t="shared" si="103"/>
        <v>Perfect Match</v>
      </c>
    </row>
    <row r="793" spans="1:32">
      <c r="A793" t="str">
        <f>IF(OR(I793&lt;0, ISTEXT(W793), ISTEXT(Y793)), "Invalid", IF(OR(B793="Conflicting Duplicate", M793="Unknown", S793="Unknown"), "Warning", "Valid"))</f>
        <v>Valid</v>
      </c>
      <c r="B793" t="str">
        <f t="shared" si="97"/>
        <v>-</v>
      </c>
      <c r="C793" t="s">
        <v>2062</v>
      </c>
      <c r="D793" s="2">
        <v>45875</v>
      </c>
      <c r="E793" t="str">
        <f t="shared" si="98"/>
        <v>August</v>
      </c>
      <c r="F793">
        <f t="shared" si="99"/>
        <v>2025</v>
      </c>
      <c r="G793" s="2">
        <v>45908</v>
      </c>
      <c r="H793" t="s">
        <v>2063</v>
      </c>
      <c r="I793">
        <f t="shared" si="100"/>
        <v>33</v>
      </c>
      <c r="J793" t="s">
        <v>2795</v>
      </c>
      <c r="K793" t="s">
        <v>36</v>
      </c>
      <c r="L793" t="s">
        <v>37</v>
      </c>
      <c r="M793" t="s">
        <v>54</v>
      </c>
      <c r="N793" t="s">
        <v>84</v>
      </c>
      <c r="O793" t="s">
        <v>85</v>
      </c>
      <c r="P793" t="s">
        <v>28</v>
      </c>
      <c r="Q793" t="s">
        <v>29</v>
      </c>
      <c r="R793" t="s">
        <v>2064</v>
      </c>
      <c r="S793" t="s">
        <v>31</v>
      </c>
      <c r="T793">
        <v>3</v>
      </c>
      <c r="U793">
        <v>598.54999999999995</v>
      </c>
      <c r="V793">
        <v>0</v>
      </c>
      <c r="W793">
        <v>0</v>
      </c>
      <c r="X793">
        <v>1795.65</v>
      </c>
      <c r="Y793">
        <f t="shared" si="96"/>
        <v>1795.65</v>
      </c>
      <c r="Z793">
        <v>996.72</v>
      </c>
      <c r="AA793">
        <v>798.93</v>
      </c>
      <c r="AB793">
        <f t="shared" si="101"/>
        <v>798.93000000000006</v>
      </c>
      <c r="AC793" s="8">
        <f t="shared" si="102"/>
        <v>0.44492523598696854</v>
      </c>
      <c r="AD793" t="s">
        <v>32</v>
      </c>
      <c r="AE793" t="s">
        <v>33</v>
      </c>
      <c r="AF793" t="str">
        <f t="shared" si="103"/>
        <v>Perfect Match</v>
      </c>
    </row>
    <row r="794" spans="1:32">
      <c r="A794" t="str">
        <f>IF(OR(I794&lt;0, ISTEXT(W794), ISTEXT(Y794)), "Invalid", IF(OR(B794="Conflicting Duplicate", M794="Unknown", S794="Unknown"), "Warning", "Valid"))</f>
        <v>Valid</v>
      </c>
      <c r="B794" t="str">
        <f t="shared" si="97"/>
        <v>-</v>
      </c>
      <c r="C794" t="s">
        <v>2065</v>
      </c>
      <c r="D794" s="2">
        <v>45733</v>
      </c>
      <c r="E794" t="str">
        <f t="shared" si="98"/>
        <v>March</v>
      </c>
      <c r="F794">
        <f t="shared" si="99"/>
        <v>2025</v>
      </c>
      <c r="G794" s="2">
        <v>45737</v>
      </c>
      <c r="H794" t="s">
        <v>1706</v>
      </c>
      <c r="I794">
        <f t="shared" si="100"/>
        <v>4</v>
      </c>
      <c r="J794" t="s">
        <v>2795</v>
      </c>
      <c r="K794" t="s">
        <v>132</v>
      </c>
      <c r="L794" t="s">
        <v>24</v>
      </c>
      <c r="M794" t="s">
        <v>25</v>
      </c>
      <c r="N794" t="s">
        <v>136</v>
      </c>
      <c r="O794" t="s">
        <v>137</v>
      </c>
      <c r="P794" t="s">
        <v>28</v>
      </c>
      <c r="Q794" t="s">
        <v>153</v>
      </c>
      <c r="R794" t="s">
        <v>2066</v>
      </c>
      <c r="S794" t="s">
        <v>59</v>
      </c>
      <c r="T794">
        <v>5</v>
      </c>
      <c r="U794">
        <v>4320.59</v>
      </c>
      <c r="V794">
        <v>0.15</v>
      </c>
      <c r="W794">
        <v>0.15</v>
      </c>
      <c r="X794">
        <v>18362.509999999998</v>
      </c>
      <c r="Y794">
        <f t="shared" si="96"/>
        <v>18362.509999999998</v>
      </c>
      <c r="Z794">
        <v>11133.97</v>
      </c>
      <c r="AA794">
        <v>7228.54</v>
      </c>
      <c r="AB794">
        <f t="shared" si="101"/>
        <v>7228.5399999999991</v>
      </c>
      <c r="AC794" s="8">
        <f t="shared" si="102"/>
        <v>0.39365751196323379</v>
      </c>
      <c r="AD794" t="s">
        <v>32</v>
      </c>
      <c r="AE794" t="s">
        <v>33</v>
      </c>
      <c r="AF794" t="str">
        <f t="shared" si="103"/>
        <v>Perfect Match</v>
      </c>
    </row>
    <row r="795" spans="1:32">
      <c r="A795" t="str">
        <f>IF(OR(I795&lt;0, ISTEXT(W795), ISTEXT(Y795)), "Invalid", IF(OR(B795="Conflicting Duplicate", M795="Unknown", S795="Unknown"), "Warning", "Valid"))</f>
        <v>Valid</v>
      </c>
      <c r="B795" t="str">
        <f t="shared" si="97"/>
        <v>-</v>
      </c>
      <c r="C795" t="s">
        <v>2067</v>
      </c>
      <c r="D795" s="2">
        <v>45751</v>
      </c>
      <c r="E795" t="str">
        <f t="shared" si="98"/>
        <v>April</v>
      </c>
      <c r="F795">
        <f t="shared" si="99"/>
        <v>2025</v>
      </c>
      <c r="G795" s="2">
        <v>45754</v>
      </c>
      <c r="H795" t="s">
        <v>2068</v>
      </c>
      <c r="I795">
        <f t="shared" si="100"/>
        <v>3</v>
      </c>
      <c r="J795" t="s">
        <v>2795</v>
      </c>
      <c r="K795" t="s">
        <v>114</v>
      </c>
      <c r="L795" t="s">
        <v>37</v>
      </c>
      <c r="M795" t="s">
        <v>54</v>
      </c>
      <c r="N795" t="s">
        <v>247</v>
      </c>
      <c r="O795" t="s">
        <v>248</v>
      </c>
      <c r="P795" t="s">
        <v>74</v>
      </c>
      <c r="Q795" t="s">
        <v>80</v>
      </c>
      <c r="R795" t="s">
        <v>2069</v>
      </c>
      <c r="S795" t="s">
        <v>31</v>
      </c>
      <c r="T795">
        <v>7</v>
      </c>
      <c r="U795">
        <v>4457.93</v>
      </c>
      <c r="V795">
        <v>0.15</v>
      </c>
      <c r="W795">
        <v>0.15</v>
      </c>
      <c r="X795">
        <v>26524.68</v>
      </c>
      <c r="Y795">
        <f t="shared" si="96"/>
        <v>26524.68</v>
      </c>
      <c r="Z795">
        <v>20574.3</v>
      </c>
      <c r="AA795">
        <v>5950.38</v>
      </c>
      <c r="AB795">
        <f t="shared" si="101"/>
        <v>5950.380000000001</v>
      </c>
      <c r="AC795" s="8">
        <f t="shared" si="102"/>
        <v>0.22433371486479764</v>
      </c>
      <c r="AD795" t="s">
        <v>32</v>
      </c>
      <c r="AE795" t="s">
        <v>33</v>
      </c>
      <c r="AF795" t="str">
        <f t="shared" si="103"/>
        <v>Perfect Match</v>
      </c>
    </row>
    <row r="796" spans="1:32">
      <c r="A796" t="str">
        <f>IF(OR(I796&lt;0, ISTEXT(W796), ISTEXT(Y796)), "Invalid", IF(OR(B796="Conflicting Duplicate", M796="Unknown", S796="Unknown"), "Warning", "Valid"))</f>
        <v>Valid</v>
      </c>
      <c r="B796" t="str">
        <f t="shared" si="97"/>
        <v>-</v>
      </c>
      <c r="C796" t="s">
        <v>2070</v>
      </c>
      <c r="D796" s="2">
        <v>45942</v>
      </c>
      <c r="E796" t="str">
        <f t="shared" si="98"/>
        <v>October</v>
      </c>
      <c r="F796">
        <f t="shared" si="99"/>
        <v>2025</v>
      </c>
      <c r="G796" s="2">
        <v>45946</v>
      </c>
      <c r="H796" t="s">
        <v>936</v>
      </c>
      <c r="I796">
        <f t="shared" si="100"/>
        <v>4</v>
      </c>
      <c r="J796" t="s">
        <v>2795</v>
      </c>
      <c r="K796" t="s">
        <v>162</v>
      </c>
      <c r="L796" t="s">
        <v>90</v>
      </c>
      <c r="M796" t="s">
        <v>38</v>
      </c>
      <c r="N796" t="s">
        <v>145</v>
      </c>
      <c r="O796" t="s">
        <v>146</v>
      </c>
      <c r="P796" t="s">
        <v>74</v>
      </c>
      <c r="Q796" t="s">
        <v>274</v>
      </c>
      <c r="R796" t="s">
        <v>2071</v>
      </c>
      <c r="S796" t="s">
        <v>44</v>
      </c>
      <c r="T796">
        <v>1</v>
      </c>
      <c r="U796">
        <v>2570.06</v>
      </c>
      <c r="V796">
        <v>0.2</v>
      </c>
      <c r="W796">
        <v>0.2</v>
      </c>
      <c r="X796">
        <v>2056.0500000000002</v>
      </c>
      <c r="Y796">
        <f t="shared" si="96"/>
        <v>2056.0500000000002</v>
      </c>
      <c r="Z796">
        <v>1662.39</v>
      </c>
      <c r="AA796">
        <v>393.66</v>
      </c>
      <c r="AB796">
        <f t="shared" si="101"/>
        <v>393.66000000000008</v>
      </c>
      <c r="AC796" s="8">
        <f t="shared" si="102"/>
        <v>0.19146421536441235</v>
      </c>
      <c r="AD796" t="s">
        <v>32</v>
      </c>
      <c r="AE796" t="s">
        <v>33</v>
      </c>
      <c r="AF796" t="str">
        <f t="shared" si="103"/>
        <v>Perfect Match</v>
      </c>
    </row>
    <row r="797" spans="1:32">
      <c r="A797" t="str">
        <f>IF(OR(I797&lt;0, ISTEXT(W797), ISTEXT(Y797)), "Invalid", IF(OR(B797="Conflicting Duplicate", M797="Unknown", S797="Unknown"), "Warning", "Valid"))</f>
        <v>Valid</v>
      </c>
      <c r="B797" t="str">
        <f t="shared" si="97"/>
        <v>-</v>
      </c>
      <c r="C797" t="s">
        <v>2072</v>
      </c>
      <c r="D797" s="2">
        <v>45895</v>
      </c>
      <c r="E797" t="str">
        <f t="shared" si="98"/>
        <v>August</v>
      </c>
      <c r="F797">
        <f t="shared" si="99"/>
        <v>2025</v>
      </c>
      <c r="G797" s="2">
        <v>45895</v>
      </c>
      <c r="H797" t="s">
        <v>2073</v>
      </c>
      <c r="I797">
        <f t="shared" si="100"/>
        <v>0</v>
      </c>
      <c r="J797" t="s">
        <v>2795</v>
      </c>
      <c r="K797" t="s">
        <v>79</v>
      </c>
      <c r="L797" t="s">
        <v>95</v>
      </c>
      <c r="M797" t="s">
        <v>38</v>
      </c>
      <c r="N797" t="s">
        <v>99</v>
      </c>
      <c r="O797" t="s">
        <v>100</v>
      </c>
      <c r="P797" t="s">
        <v>41</v>
      </c>
      <c r="Q797" t="s">
        <v>57</v>
      </c>
      <c r="R797" t="s">
        <v>2074</v>
      </c>
      <c r="S797" t="s">
        <v>59</v>
      </c>
      <c r="T797">
        <v>4</v>
      </c>
      <c r="U797">
        <v>2151.8200000000002</v>
      </c>
      <c r="V797">
        <v>0</v>
      </c>
      <c r="W797">
        <v>0</v>
      </c>
      <c r="X797">
        <v>8607.2800000000007</v>
      </c>
      <c r="Y797">
        <f t="shared" si="96"/>
        <v>8607.2800000000007</v>
      </c>
      <c r="Z797">
        <v>5124.01</v>
      </c>
      <c r="AA797">
        <v>3483.27</v>
      </c>
      <c r="AB797">
        <f t="shared" si="101"/>
        <v>3483.2700000000004</v>
      </c>
      <c r="AC797" s="8">
        <f t="shared" si="102"/>
        <v>0.40468882155570635</v>
      </c>
      <c r="AD797" t="s">
        <v>32</v>
      </c>
      <c r="AE797" t="s">
        <v>33</v>
      </c>
      <c r="AF797" t="str">
        <f t="shared" si="103"/>
        <v>Perfect Match</v>
      </c>
    </row>
    <row r="798" spans="1:32">
      <c r="A798" t="str">
        <f>IF(OR(I798&lt;0, ISTEXT(W798), ISTEXT(Y798)), "Invalid", IF(OR(B798="Conflicting Duplicate", M798="Unknown", S798="Unknown"), "Warning", "Valid"))</f>
        <v>Valid</v>
      </c>
      <c r="B798" t="str">
        <f t="shared" si="97"/>
        <v>-</v>
      </c>
      <c r="C798" t="s">
        <v>2078</v>
      </c>
      <c r="D798" s="2">
        <v>45876</v>
      </c>
      <c r="E798" t="str">
        <f t="shared" si="98"/>
        <v>August</v>
      </c>
      <c r="F798">
        <f t="shared" si="99"/>
        <v>2025</v>
      </c>
      <c r="G798" s="2">
        <v>45879</v>
      </c>
      <c r="H798" t="s">
        <v>2079</v>
      </c>
      <c r="I798">
        <f t="shared" si="100"/>
        <v>3</v>
      </c>
      <c r="J798" t="s">
        <v>2795</v>
      </c>
      <c r="K798" t="s">
        <v>89</v>
      </c>
      <c r="L798" t="s">
        <v>95</v>
      </c>
      <c r="M798" t="s">
        <v>38</v>
      </c>
      <c r="N798" t="s">
        <v>145</v>
      </c>
      <c r="O798" t="s">
        <v>146</v>
      </c>
      <c r="P798" t="s">
        <v>28</v>
      </c>
      <c r="Q798" t="s">
        <v>124</v>
      </c>
      <c r="R798" t="s">
        <v>2080</v>
      </c>
      <c r="S798" t="s">
        <v>31</v>
      </c>
      <c r="T798">
        <v>1</v>
      </c>
      <c r="U798">
        <v>2541.25</v>
      </c>
      <c r="V798">
        <v>0.2</v>
      </c>
      <c r="W798">
        <v>0.2</v>
      </c>
      <c r="X798">
        <v>2033</v>
      </c>
      <c r="Y798">
        <f t="shared" si="96"/>
        <v>2033</v>
      </c>
      <c r="Z798">
        <v>1291.4100000000001</v>
      </c>
      <c r="AA798">
        <v>741.59</v>
      </c>
      <c r="AB798">
        <f t="shared" si="101"/>
        <v>741.58999999999992</v>
      </c>
      <c r="AC798" s="8">
        <f t="shared" si="102"/>
        <v>0.36477619281849477</v>
      </c>
      <c r="AD798" t="s">
        <v>32</v>
      </c>
      <c r="AE798" t="s">
        <v>33</v>
      </c>
      <c r="AF798" t="str">
        <f t="shared" si="103"/>
        <v>Perfect Match</v>
      </c>
    </row>
    <row r="799" spans="1:32">
      <c r="A799" s="6" t="str">
        <f>IF(OR(I799&lt;0, ISTEXT(W799), ISTEXT(Y799)), "Invalid", IF(OR(B799="Conflicting Duplicate", M799="Unknown", S799="Unknown"), "Warning", "Valid"))</f>
        <v>Warning</v>
      </c>
      <c r="B799" t="str">
        <f t="shared" si="97"/>
        <v>-</v>
      </c>
      <c r="C799" t="s">
        <v>2081</v>
      </c>
      <c r="D799" s="2">
        <v>45817</v>
      </c>
      <c r="E799" t="str">
        <f t="shared" si="98"/>
        <v>June</v>
      </c>
      <c r="F799">
        <f t="shared" si="99"/>
        <v>2025</v>
      </c>
      <c r="G799" s="2">
        <v>45820</v>
      </c>
      <c r="H799" t="s">
        <v>2082</v>
      </c>
      <c r="I799">
        <f t="shared" si="100"/>
        <v>3</v>
      </c>
      <c r="J799" t="s">
        <v>2795</v>
      </c>
      <c r="K799" t="s">
        <v>132</v>
      </c>
      <c r="L799" t="s">
        <v>24</v>
      </c>
      <c r="M799" s="4" t="s">
        <v>2790</v>
      </c>
      <c r="N799" t="s">
        <v>145</v>
      </c>
      <c r="O799" t="s">
        <v>146</v>
      </c>
      <c r="P799" t="s">
        <v>28</v>
      </c>
      <c r="Q799" t="s">
        <v>48</v>
      </c>
      <c r="R799" t="s">
        <v>2083</v>
      </c>
      <c r="S799" t="s">
        <v>50</v>
      </c>
      <c r="T799">
        <v>7</v>
      </c>
      <c r="U799">
        <v>2852.42</v>
      </c>
      <c r="V799">
        <v>0</v>
      </c>
      <c r="W799">
        <v>0</v>
      </c>
      <c r="X799">
        <v>19966.939999999999</v>
      </c>
      <c r="Y799">
        <f t="shared" si="96"/>
        <v>19966.939999999999</v>
      </c>
      <c r="Z799">
        <v>12690.83</v>
      </c>
      <c r="AA799">
        <v>7276.11</v>
      </c>
      <c r="AB799">
        <f t="shared" si="101"/>
        <v>7276.1099999999988</v>
      </c>
      <c r="AC799" s="8">
        <f t="shared" si="102"/>
        <v>0.36440786620283322</v>
      </c>
      <c r="AD799" t="s">
        <v>102</v>
      </c>
      <c r="AE799" t="s">
        <v>68</v>
      </c>
      <c r="AF799" t="str">
        <f t="shared" si="103"/>
        <v>Perfect Match</v>
      </c>
    </row>
    <row r="800" spans="1:32">
      <c r="A800" t="str">
        <f>IF(OR(I800&lt;0, ISTEXT(W800), ISTEXT(Y800)), "Invalid", IF(OR(B800="Conflicting Duplicate", M800="Unknown", S800="Unknown"), "Warning", "Valid"))</f>
        <v>Valid</v>
      </c>
      <c r="B800" t="str">
        <f t="shared" si="97"/>
        <v>-</v>
      </c>
      <c r="C800" t="s">
        <v>2084</v>
      </c>
      <c r="D800" s="2">
        <v>45678</v>
      </c>
      <c r="E800" t="str">
        <f t="shared" si="98"/>
        <v>January</v>
      </c>
      <c r="F800">
        <f t="shared" si="99"/>
        <v>2025</v>
      </c>
      <c r="G800" s="2">
        <v>45679</v>
      </c>
      <c r="H800" t="s">
        <v>2085</v>
      </c>
      <c r="I800">
        <f t="shared" si="100"/>
        <v>1</v>
      </c>
      <c r="J800" t="s">
        <v>2795</v>
      </c>
      <c r="K800" t="s">
        <v>162</v>
      </c>
      <c r="L800" t="s">
        <v>90</v>
      </c>
      <c r="M800" t="s">
        <v>54</v>
      </c>
      <c r="N800" t="s">
        <v>175</v>
      </c>
      <c r="O800" t="s">
        <v>176</v>
      </c>
      <c r="P800" t="s">
        <v>74</v>
      </c>
      <c r="Q800" t="s">
        <v>171</v>
      </c>
      <c r="R800" t="s">
        <v>2086</v>
      </c>
      <c r="S800" t="s">
        <v>31</v>
      </c>
      <c r="T800">
        <v>2</v>
      </c>
      <c r="U800">
        <v>444.31</v>
      </c>
      <c r="V800">
        <v>0.2</v>
      </c>
      <c r="W800">
        <v>0.2</v>
      </c>
      <c r="X800">
        <v>710.9</v>
      </c>
      <c r="Y800">
        <f t="shared" si="96"/>
        <v>710.9</v>
      </c>
      <c r="Z800">
        <v>513.88</v>
      </c>
      <c r="AA800">
        <v>197.02</v>
      </c>
      <c r="AB800">
        <f t="shared" si="101"/>
        <v>197.01999999999998</v>
      </c>
      <c r="AC800" s="8">
        <f t="shared" si="102"/>
        <v>0.27714165142776759</v>
      </c>
      <c r="AD800" t="s">
        <v>102</v>
      </c>
      <c r="AE800" t="s">
        <v>68</v>
      </c>
      <c r="AF800" t="str">
        <f t="shared" si="103"/>
        <v>Perfect Match</v>
      </c>
    </row>
    <row r="801" spans="1:32">
      <c r="A801" t="str">
        <f>IF(OR(I801&lt;0, ISTEXT(W801), ISTEXT(Y801)), "Invalid", IF(OR(B801="Conflicting Duplicate", M801="Unknown", S801="Unknown"), "Warning", "Valid"))</f>
        <v>Valid</v>
      </c>
      <c r="B801" t="str">
        <f t="shared" si="97"/>
        <v>-</v>
      </c>
      <c r="C801" t="s">
        <v>2087</v>
      </c>
      <c r="D801" s="2">
        <v>45853</v>
      </c>
      <c r="E801" t="str">
        <f t="shared" si="98"/>
        <v>July</v>
      </c>
      <c r="F801">
        <f t="shared" si="99"/>
        <v>2025</v>
      </c>
      <c r="G801" s="2">
        <v>45853</v>
      </c>
      <c r="H801" t="s">
        <v>2088</v>
      </c>
      <c r="I801">
        <f t="shared" si="100"/>
        <v>0</v>
      </c>
      <c r="J801" t="s">
        <v>2795</v>
      </c>
      <c r="K801" t="s">
        <v>53</v>
      </c>
      <c r="L801" t="s">
        <v>37</v>
      </c>
      <c r="M801" t="s">
        <v>38</v>
      </c>
      <c r="N801" t="s">
        <v>228</v>
      </c>
      <c r="O801" t="s">
        <v>229</v>
      </c>
      <c r="P801" t="s">
        <v>74</v>
      </c>
      <c r="Q801" t="s">
        <v>171</v>
      </c>
      <c r="R801" t="s">
        <v>2089</v>
      </c>
      <c r="S801" t="s">
        <v>44</v>
      </c>
      <c r="T801">
        <v>4</v>
      </c>
      <c r="U801">
        <v>4442.91</v>
      </c>
      <c r="V801">
        <v>0.1</v>
      </c>
      <c r="W801">
        <v>0.1</v>
      </c>
      <c r="X801">
        <v>15994.48</v>
      </c>
      <c r="Y801">
        <f t="shared" si="96"/>
        <v>15994.48</v>
      </c>
      <c r="Z801">
        <v>9224.2800000000007</v>
      </c>
      <c r="AA801">
        <v>6770.2</v>
      </c>
      <c r="AB801">
        <f t="shared" si="101"/>
        <v>6770.1999999999989</v>
      </c>
      <c r="AC801" s="8">
        <f t="shared" si="102"/>
        <v>0.42328353281882242</v>
      </c>
      <c r="AD801" t="s">
        <v>32</v>
      </c>
      <c r="AE801" t="s">
        <v>33</v>
      </c>
      <c r="AF801" t="str">
        <f t="shared" si="103"/>
        <v>Perfect Match</v>
      </c>
    </row>
    <row r="802" spans="1:32">
      <c r="A802" t="str">
        <f>IF(OR(I802&lt;0, ISTEXT(W802), ISTEXT(Y802)), "Invalid", IF(OR(B802="Conflicting Duplicate", M802="Unknown", S802="Unknown"), "Warning", "Valid"))</f>
        <v>Valid</v>
      </c>
      <c r="B802" t="str">
        <f t="shared" si="97"/>
        <v>-</v>
      </c>
      <c r="C802" t="s">
        <v>2102</v>
      </c>
      <c r="D802" s="2">
        <v>45670</v>
      </c>
      <c r="E802" t="str">
        <f t="shared" si="98"/>
        <v>January</v>
      </c>
      <c r="F802">
        <f t="shared" si="99"/>
        <v>2025</v>
      </c>
      <c r="G802" s="2">
        <v>45670</v>
      </c>
      <c r="H802" t="s">
        <v>2103</v>
      </c>
      <c r="I802">
        <f t="shared" si="100"/>
        <v>0</v>
      </c>
      <c r="J802" t="s">
        <v>2795</v>
      </c>
      <c r="K802" t="s">
        <v>118</v>
      </c>
      <c r="L802" t="s">
        <v>95</v>
      </c>
      <c r="M802" t="s">
        <v>63</v>
      </c>
      <c r="N802" t="s">
        <v>180</v>
      </c>
      <c r="O802" t="s">
        <v>181</v>
      </c>
      <c r="P802" t="s">
        <v>28</v>
      </c>
      <c r="Q802" t="s">
        <v>48</v>
      </c>
      <c r="R802" t="s">
        <v>2104</v>
      </c>
      <c r="S802" t="s">
        <v>59</v>
      </c>
      <c r="T802">
        <v>3</v>
      </c>
      <c r="U802">
        <v>2110.52</v>
      </c>
      <c r="V802">
        <v>0.1</v>
      </c>
      <c r="W802">
        <v>0.1</v>
      </c>
      <c r="X802">
        <v>5698.4</v>
      </c>
      <c r="Y802">
        <f t="shared" si="96"/>
        <v>5698.4</v>
      </c>
      <c r="Z802">
        <v>3640.89</v>
      </c>
      <c r="AA802">
        <v>2057.5100000000002</v>
      </c>
      <c r="AB802">
        <f t="shared" si="101"/>
        <v>2057.5099999999998</v>
      </c>
      <c r="AC802" s="8">
        <f t="shared" si="102"/>
        <v>0.36106801909307873</v>
      </c>
      <c r="AD802" t="s">
        <v>155</v>
      </c>
      <c r="AE802" t="s">
        <v>68</v>
      </c>
      <c r="AF802" t="str">
        <f t="shared" si="103"/>
        <v>Perfect Match</v>
      </c>
    </row>
    <row r="803" spans="1:32">
      <c r="A803" t="str">
        <f>IF(OR(I803&lt;0, ISTEXT(W803), ISTEXT(Y803)), "Invalid", IF(OR(B803="Conflicting Duplicate", M803="Unknown", S803="Unknown"), "Warning", "Valid"))</f>
        <v>Valid</v>
      </c>
      <c r="B803" t="str">
        <f t="shared" si="97"/>
        <v>-</v>
      </c>
      <c r="C803" t="s">
        <v>2108</v>
      </c>
      <c r="D803" s="2">
        <v>45797</v>
      </c>
      <c r="E803" t="str">
        <f t="shared" si="98"/>
        <v>May</v>
      </c>
      <c r="F803">
        <f t="shared" si="99"/>
        <v>2025</v>
      </c>
      <c r="G803" s="2">
        <v>45804</v>
      </c>
      <c r="H803" t="s">
        <v>2109</v>
      </c>
      <c r="I803">
        <f t="shared" si="100"/>
        <v>7</v>
      </c>
      <c r="J803" t="s">
        <v>2795</v>
      </c>
      <c r="K803" t="s">
        <v>162</v>
      </c>
      <c r="L803" t="s">
        <v>37</v>
      </c>
      <c r="M803" t="s">
        <v>38</v>
      </c>
      <c r="N803" t="s">
        <v>145</v>
      </c>
      <c r="O803" t="s">
        <v>146</v>
      </c>
      <c r="P803" t="s">
        <v>74</v>
      </c>
      <c r="Q803" t="s">
        <v>274</v>
      </c>
      <c r="R803" t="s">
        <v>2110</v>
      </c>
      <c r="S803" t="s">
        <v>59</v>
      </c>
      <c r="T803">
        <v>1</v>
      </c>
      <c r="U803">
        <v>3959.14</v>
      </c>
      <c r="V803">
        <v>0</v>
      </c>
      <c r="W803">
        <v>0</v>
      </c>
      <c r="X803">
        <v>3959.14</v>
      </c>
      <c r="Y803">
        <f t="shared" si="96"/>
        <v>3959.14</v>
      </c>
      <c r="Z803">
        <v>3239.53</v>
      </c>
      <c r="AA803">
        <v>719.61</v>
      </c>
      <c r="AB803">
        <f t="shared" si="101"/>
        <v>719.60999999999967</v>
      </c>
      <c r="AC803" s="8">
        <f t="shared" si="102"/>
        <v>0.18175916992074029</v>
      </c>
      <c r="AD803" t="s">
        <v>111</v>
      </c>
      <c r="AE803" t="s">
        <v>103</v>
      </c>
      <c r="AF803" t="str">
        <f t="shared" si="103"/>
        <v>Perfect Match</v>
      </c>
    </row>
    <row r="804" spans="1:32">
      <c r="A804" t="str">
        <f>IF(OR(I804&lt;0, ISTEXT(W804), ISTEXT(Y804)), "Invalid", IF(OR(B804="Conflicting Duplicate", M804="Unknown", S804="Unknown"), "Warning", "Valid"))</f>
        <v>Valid</v>
      </c>
      <c r="B804" t="str">
        <f t="shared" si="97"/>
        <v>-</v>
      </c>
      <c r="C804" t="s">
        <v>2117</v>
      </c>
      <c r="D804" s="2">
        <v>45690</v>
      </c>
      <c r="E804" t="str">
        <f t="shared" si="98"/>
        <v>February</v>
      </c>
      <c r="F804">
        <f t="shared" si="99"/>
        <v>2025</v>
      </c>
      <c r="G804" s="2">
        <v>45694</v>
      </c>
      <c r="H804" t="s">
        <v>1616</v>
      </c>
      <c r="I804">
        <f t="shared" si="100"/>
        <v>4</v>
      </c>
      <c r="J804" t="s">
        <v>2795</v>
      </c>
      <c r="K804" t="s">
        <v>132</v>
      </c>
      <c r="L804" t="s">
        <v>90</v>
      </c>
      <c r="M804" t="s">
        <v>25</v>
      </c>
      <c r="N804" t="s">
        <v>136</v>
      </c>
      <c r="O804" t="s">
        <v>137</v>
      </c>
      <c r="P804" t="s">
        <v>41</v>
      </c>
      <c r="Q804" t="s">
        <v>42</v>
      </c>
      <c r="R804" t="s">
        <v>2118</v>
      </c>
      <c r="S804" t="s">
        <v>59</v>
      </c>
      <c r="T804">
        <v>8</v>
      </c>
      <c r="U804">
        <v>857.86</v>
      </c>
      <c r="V804">
        <v>0.1</v>
      </c>
      <c r="W804">
        <v>0.1</v>
      </c>
      <c r="X804">
        <v>6176.59</v>
      </c>
      <c r="Y804">
        <f t="shared" si="96"/>
        <v>6176.59</v>
      </c>
      <c r="Z804">
        <v>3560.96</v>
      </c>
      <c r="AA804">
        <v>2615.63</v>
      </c>
      <c r="AB804">
        <f t="shared" si="101"/>
        <v>2615.63</v>
      </c>
      <c r="AC804" s="8">
        <f t="shared" si="102"/>
        <v>0.42347476520215849</v>
      </c>
      <c r="AD804" t="s">
        <v>32</v>
      </c>
      <c r="AE804" t="s">
        <v>33</v>
      </c>
      <c r="AF804" t="str">
        <f t="shared" si="103"/>
        <v>Perfect Match</v>
      </c>
    </row>
    <row r="805" spans="1:32">
      <c r="A805" t="str">
        <f>IF(OR(I805&lt;0, ISTEXT(W805), ISTEXT(Y805)), "Invalid", IF(OR(B805="Conflicting Duplicate", M805="Unknown", S805="Unknown"), "Warning", "Valid"))</f>
        <v>Valid</v>
      </c>
      <c r="B805" t="str">
        <f t="shared" si="97"/>
        <v>-</v>
      </c>
      <c r="C805" t="s">
        <v>2126</v>
      </c>
      <c r="D805" s="2">
        <v>45701</v>
      </c>
      <c r="E805" t="str">
        <f t="shared" si="98"/>
        <v>February</v>
      </c>
      <c r="F805">
        <f t="shared" si="99"/>
        <v>2025</v>
      </c>
      <c r="G805" s="2">
        <v>45704</v>
      </c>
      <c r="H805" t="s">
        <v>2127</v>
      </c>
      <c r="I805">
        <f t="shared" si="100"/>
        <v>3</v>
      </c>
      <c r="J805" t="s">
        <v>2795</v>
      </c>
      <c r="K805" t="s">
        <v>53</v>
      </c>
      <c r="L805" t="s">
        <v>37</v>
      </c>
      <c r="M805" t="s">
        <v>63</v>
      </c>
      <c r="N805" t="s">
        <v>26</v>
      </c>
      <c r="O805" t="s">
        <v>109</v>
      </c>
      <c r="P805" t="s">
        <v>41</v>
      </c>
      <c r="Q805" t="s">
        <v>158</v>
      </c>
      <c r="R805" t="s">
        <v>2128</v>
      </c>
      <c r="S805" t="s">
        <v>31</v>
      </c>
      <c r="T805">
        <v>4</v>
      </c>
      <c r="U805">
        <v>4072.9</v>
      </c>
      <c r="V805">
        <v>0.15</v>
      </c>
      <c r="W805">
        <v>0.15</v>
      </c>
      <c r="X805">
        <v>13847.86</v>
      </c>
      <c r="Y805">
        <f t="shared" si="96"/>
        <v>13847.86</v>
      </c>
      <c r="Z805">
        <v>8471.7800000000007</v>
      </c>
      <c r="AA805">
        <v>5376.08</v>
      </c>
      <c r="AB805">
        <f t="shared" si="101"/>
        <v>5376.08</v>
      </c>
      <c r="AC805" s="8">
        <f t="shared" si="102"/>
        <v>0.38822460654570451</v>
      </c>
      <c r="AD805" t="s">
        <v>32</v>
      </c>
      <c r="AE805" t="s">
        <v>33</v>
      </c>
      <c r="AF805" t="str">
        <f t="shared" si="103"/>
        <v>Perfect Match</v>
      </c>
    </row>
    <row r="806" spans="1:32">
      <c r="A806" s="6" t="str">
        <f>IF(OR(I806&lt;0, ISTEXT(W806), ISTEXT(Y806)), "Invalid", IF(OR(B806="Conflicting Duplicate", M806="Unknown", S806="Unknown"), "Warning", "Valid"))</f>
        <v>Invalid</v>
      </c>
      <c r="B806" t="str">
        <f t="shared" si="97"/>
        <v>-</v>
      </c>
      <c r="C806" t="s">
        <v>2132</v>
      </c>
      <c r="D806" s="2">
        <v>45844</v>
      </c>
      <c r="E806" t="str">
        <f t="shared" si="98"/>
        <v>July</v>
      </c>
      <c r="F806">
        <f t="shared" si="99"/>
        <v>2025</v>
      </c>
      <c r="G806" s="2">
        <v>45818</v>
      </c>
      <c r="H806" t="s">
        <v>2031</v>
      </c>
      <c r="I806" s="7">
        <f t="shared" si="100"/>
        <v>-26</v>
      </c>
      <c r="J806" s="7" t="s">
        <v>2802</v>
      </c>
      <c r="K806" t="s">
        <v>128</v>
      </c>
      <c r="L806" t="s">
        <v>24</v>
      </c>
      <c r="M806" t="s">
        <v>25</v>
      </c>
      <c r="N806" t="s">
        <v>26</v>
      </c>
      <c r="O806" t="s">
        <v>27</v>
      </c>
      <c r="P806" t="s">
        <v>41</v>
      </c>
      <c r="Q806" t="s">
        <v>57</v>
      </c>
      <c r="R806" t="s">
        <v>2133</v>
      </c>
      <c r="S806" t="s">
        <v>44</v>
      </c>
      <c r="T806">
        <v>3</v>
      </c>
      <c r="U806">
        <v>963.26</v>
      </c>
      <c r="V806">
        <v>0</v>
      </c>
      <c r="W806">
        <v>0</v>
      </c>
      <c r="X806">
        <v>2889.78</v>
      </c>
      <c r="Y806">
        <f t="shared" si="96"/>
        <v>2889.78</v>
      </c>
      <c r="Z806">
        <v>1811.23</v>
      </c>
      <c r="AA806">
        <v>1078.55</v>
      </c>
      <c r="AB806">
        <f t="shared" si="101"/>
        <v>1078.5500000000002</v>
      </c>
      <c r="AC806" s="8">
        <f t="shared" si="102"/>
        <v>0.37322910394562914</v>
      </c>
      <c r="AD806" t="s">
        <v>32</v>
      </c>
      <c r="AE806" t="s">
        <v>33</v>
      </c>
      <c r="AF806" t="str">
        <f t="shared" si="103"/>
        <v>Perfect Match</v>
      </c>
    </row>
    <row r="807" spans="1:32">
      <c r="A807" t="str">
        <f>IF(OR(I807&lt;0, ISTEXT(W807), ISTEXT(Y807)), "Invalid", IF(OR(B807="Conflicting Duplicate", M807="Unknown", S807="Unknown"), "Warning", "Valid"))</f>
        <v>Valid</v>
      </c>
      <c r="B807" t="str">
        <f t="shared" si="97"/>
        <v>-</v>
      </c>
      <c r="C807" t="s">
        <v>2134</v>
      </c>
      <c r="D807" s="2">
        <v>45911</v>
      </c>
      <c r="E807" t="str">
        <f t="shared" si="98"/>
        <v>September</v>
      </c>
      <c r="F807">
        <f t="shared" si="99"/>
        <v>2025</v>
      </c>
      <c r="G807" s="2">
        <v>45918</v>
      </c>
      <c r="H807" t="s">
        <v>2135</v>
      </c>
      <c r="I807">
        <f t="shared" si="100"/>
        <v>7</v>
      </c>
      <c r="J807" t="s">
        <v>2795</v>
      </c>
      <c r="K807" t="s">
        <v>118</v>
      </c>
      <c r="L807" t="s">
        <v>37</v>
      </c>
      <c r="M807" t="s">
        <v>25</v>
      </c>
      <c r="N807" t="s">
        <v>350</v>
      </c>
      <c r="O807" t="s">
        <v>351</v>
      </c>
      <c r="P807" t="s">
        <v>74</v>
      </c>
      <c r="Q807" t="s">
        <v>171</v>
      </c>
      <c r="R807" t="s">
        <v>2136</v>
      </c>
      <c r="S807" t="s">
        <v>44</v>
      </c>
      <c r="T807">
        <v>7</v>
      </c>
      <c r="U807">
        <v>3411.21</v>
      </c>
      <c r="V807">
        <v>0.15</v>
      </c>
      <c r="W807">
        <v>0.15</v>
      </c>
      <c r="X807">
        <v>20296.7</v>
      </c>
      <c r="Y807">
        <f t="shared" si="96"/>
        <v>20296.7</v>
      </c>
      <c r="Z807">
        <v>14920.87</v>
      </c>
      <c r="AA807">
        <v>5375.83</v>
      </c>
      <c r="AB807">
        <f t="shared" si="101"/>
        <v>5375.83</v>
      </c>
      <c r="AC807" s="8">
        <f t="shared" si="102"/>
        <v>0.26486226825050374</v>
      </c>
      <c r="AD807" t="s">
        <v>32</v>
      </c>
      <c r="AE807" t="s">
        <v>33</v>
      </c>
      <c r="AF807" t="str">
        <f t="shared" si="103"/>
        <v>Perfect Match</v>
      </c>
    </row>
    <row r="808" spans="1:32">
      <c r="A808" s="6" t="str">
        <f>IF(OR(I808&lt;0, ISTEXT(W808), ISTEXT(Y808)), "Invalid", IF(OR(B808="Conflicting Duplicate", M808="Unknown", S808="Unknown"), "Warning", "Valid"))</f>
        <v>Invalid</v>
      </c>
      <c r="B808" t="str">
        <f t="shared" si="97"/>
        <v>-</v>
      </c>
      <c r="C808" t="s">
        <v>2142</v>
      </c>
      <c r="D808" s="2">
        <v>45885</v>
      </c>
      <c r="E808" t="str">
        <f t="shared" si="98"/>
        <v>August</v>
      </c>
      <c r="F808">
        <f t="shared" si="99"/>
        <v>2025</v>
      </c>
      <c r="G808" s="2">
        <v>45892</v>
      </c>
      <c r="H808" t="s">
        <v>2143</v>
      </c>
      <c r="I808">
        <f t="shared" si="100"/>
        <v>7</v>
      </c>
      <c r="J808" t="s">
        <v>2795</v>
      </c>
      <c r="K808" t="s">
        <v>141</v>
      </c>
      <c r="L808" t="s">
        <v>90</v>
      </c>
      <c r="M808" t="s">
        <v>25</v>
      </c>
      <c r="N808" t="s">
        <v>122</v>
      </c>
      <c r="O808" t="s">
        <v>123</v>
      </c>
      <c r="P808" t="s">
        <v>74</v>
      </c>
      <c r="Q808" t="s">
        <v>80</v>
      </c>
      <c r="R808" t="s">
        <v>2144</v>
      </c>
      <c r="S808" t="s">
        <v>44</v>
      </c>
      <c r="T808">
        <v>4</v>
      </c>
      <c r="U808">
        <v>1410.57</v>
      </c>
      <c r="V808" s="5">
        <v>0.7</v>
      </c>
      <c r="W808" s="4" t="s">
        <v>2794</v>
      </c>
      <c r="X808">
        <v>5360.17</v>
      </c>
      <c r="Y808" s="4" t="str">
        <f t="shared" si="96"/>
        <v>Cannot Calculate</v>
      </c>
      <c r="Z808">
        <v>3881.51</v>
      </c>
      <c r="AA808">
        <v>1478.66</v>
      </c>
      <c r="AB808" s="4" t="str">
        <f t="shared" si="101"/>
        <v>Cannot Calculate</v>
      </c>
      <c r="AC808" s="9">
        <f t="shared" si="102"/>
        <v>0</v>
      </c>
      <c r="AD808" t="s">
        <v>102</v>
      </c>
      <c r="AE808" t="s">
        <v>68</v>
      </c>
      <c r="AF808" t="str">
        <f t="shared" si="103"/>
        <v>Calculation Blocked</v>
      </c>
    </row>
    <row r="809" spans="1:32">
      <c r="A809" s="6" t="str">
        <f>IF(OR(I809&lt;0, ISTEXT(W809), ISTEXT(Y809)), "Invalid", IF(OR(B809="Conflicting Duplicate", M809="Unknown", S809="Unknown"), "Warning", "Valid"))</f>
        <v>Invalid</v>
      </c>
      <c r="B809" t="str">
        <f t="shared" si="97"/>
        <v>-</v>
      </c>
      <c r="C809" t="s">
        <v>2151</v>
      </c>
      <c r="D809" s="2">
        <v>45693</v>
      </c>
      <c r="E809" t="str">
        <f t="shared" si="98"/>
        <v>February</v>
      </c>
      <c r="F809">
        <f t="shared" si="99"/>
        <v>2025</v>
      </c>
      <c r="G809" s="2">
        <v>45779</v>
      </c>
      <c r="H809" t="s">
        <v>2152</v>
      </c>
      <c r="I809">
        <f t="shared" si="100"/>
        <v>86</v>
      </c>
      <c r="J809" t="s">
        <v>2795</v>
      </c>
      <c r="K809" t="s">
        <v>62</v>
      </c>
      <c r="L809" t="s">
        <v>90</v>
      </c>
      <c r="M809" t="s">
        <v>25</v>
      </c>
      <c r="N809" t="s">
        <v>236</v>
      </c>
      <c r="O809" t="s">
        <v>237</v>
      </c>
      <c r="P809" t="s">
        <v>28</v>
      </c>
      <c r="Q809" t="s">
        <v>124</v>
      </c>
      <c r="R809" t="s">
        <v>2153</v>
      </c>
      <c r="S809" t="s">
        <v>44</v>
      </c>
      <c r="T809">
        <v>3</v>
      </c>
      <c r="U809">
        <v>2590.7800000000002</v>
      </c>
      <c r="V809" s="4" t="str">
        <f>IF(ROUND(T791*U791, 2)=ROUND(X791, 2), 0, "Flag - Missing Value")</f>
        <v>Flag - Missing Value</v>
      </c>
      <c r="W809" s="4" t="s">
        <v>2794</v>
      </c>
      <c r="X809">
        <v>7383.72</v>
      </c>
      <c r="Y809" s="4" t="str">
        <f t="shared" si="96"/>
        <v>Cannot Calculate</v>
      </c>
      <c r="Z809">
        <v>4113.66</v>
      </c>
      <c r="AA809">
        <v>3270.06</v>
      </c>
      <c r="AB809" s="4" t="str">
        <f t="shared" si="101"/>
        <v>Cannot Calculate</v>
      </c>
      <c r="AC809" s="9">
        <f t="shared" si="102"/>
        <v>0</v>
      </c>
      <c r="AD809" t="s">
        <v>32</v>
      </c>
      <c r="AE809" t="s">
        <v>33</v>
      </c>
      <c r="AF809" t="str">
        <f t="shared" si="103"/>
        <v>Calculation Blocked</v>
      </c>
    </row>
    <row r="810" spans="1:32">
      <c r="A810" t="str">
        <f>IF(OR(I810&lt;0, ISTEXT(W810), ISTEXT(Y810)), "Invalid", IF(OR(B810="Conflicting Duplicate", M810="Unknown", S810="Unknown"), "Warning", "Valid"))</f>
        <v>Valid</v>
      </c>
      <c r="B810" t="str">
        <f t="shared" si="97"/>
        <v>-</v>
      </c>
      <c r="C810" t="s">
        <v>2154</v>
      </c>
      <c r="D810" s="2">
        <v>45858</v>
      </c>
      <c r="E810" t="str">
        <f t="shared" si="98"/>
        <v>July</v>
      </c>
      <c r="F810">
        <f t="shared" si="99"/>
        <v>2025</v>
      </c>
      <c r="G810" s="2">
        <v>45862</v>
      </c>
      <c r="H810" t="s">
        <v>2155</v>
      </c>
      <c r="I810">
        <f t="shared" si="100"/>
        <v>4</v>
      </c>
      <c r="J810" t="s">
        <v>2795</v>
      </c>
      <c r="K810" t="s">
        <v>53</v>
      </c>
      <c r="L810" t="s">
        <v>37</v>
      </c>
      <c r="M810" t="s">
        <v>54</v>
      </c>
      <c r="N810" t="s">
        <v>55</v>
      </c>
      <c r="O810" t="s">
        <v>56</v>
      </c>
      <c r="P810" t="s">
        <v>41</v>
      </c>
      <c r="Q810" t="s">
        <v>57</v>
      </c>
      <c r="R810" t="s">
        <v>2156</v>
      </c>
      <c r="S810" t="s">
        <v>31</v>
      </c>
      <c r="T810">
        <v>6</v>
      </c>
      <c r="U810">
        <v>1646.45</v>
      </c>
      <c r="V810">
        <v>0.2</v>
      </c>
      <c r="W810">
        <v>0.2</v>
      </c>
      <c r="X810">
        <v>7902.96</v>
      </c>
      <c r="Y810">
        <f t="shared" si="96"/>
        <v>7902.96</v>
      </c>
      <c r="Z810">
        <v>5512.03</v>
      </c>
      <c r="AA810">
        <v>2390.9299999999998</v>
      </c>
      <c r="AB810">
        <f t="shared" si="101"/>
        <v>2390.9300000000003</v>
      </c>
      <c r="AC810" s="8">
        <f t="shared" si="102"/>
        <v>0.30253601182341811</v>
      </c>
      <c r="AD810" t="s">
        <v>102</v>
      </c>
      <c r="AE810" t="s">
        <v>68</v>
      </c>
      <c r="AF810" t="str">
        <f t="shared" si="103"/>
        <v>Perfect Match</v>
      </c>
    </row>
    <row r="811" spans="1:32">
      <c r="A811" t="str">
        <f>IF(OR(I811&lt;0, ISTEXT(W811), ISTEXT(Y811)), "Invalid", IF(OR(B811="Conflicting Duplicate", M811="Unknown", S811="Unknown"), "Warning", "Valid"))</f>
        <v>Valid</v>
      </c>
      <c r="B811" t="str">
        <f t="shared" si="97"/>
        <v>-</v>
      </c>
      <c r="C811" t="s">
        <v>2157</v>
      </c>
      <c r="D811" s="2">
        <v>45859</v>
      </c>
      <c r="E811" t="str">
        <f t="shared" si="98"/>
        <v>July</v>
      </c>
      <c r="F811">
        <f t="shared" si="99"/>
        <v>2025</v>
      </c>
      <c r="G811" s="2">
        <v>45859</v>
      </c>
      <c r="H811" t="s">
        <v>2158</v>
      </c>
      <c r="I811">
        <f t="shared" si="100"/>
        <v>0</v>
      </c>
      <c r="J811" t="s">
        <v>2795</v>
      </c>
      <c r="K811" t="s">
        <v>47</v>
      </c>
      <c r="L811" t="s">
        <v>95</v>
      </c>
      <c r="M811" t="s">
        <v>54</v>
      </c>
      <c r="N811" t="s">
        <v>247</v>
      </c>
      <c r="O811" t="s">
        <v>248</v>
      </c>
      <c r="P811" t="s">
        <v>41</v>
      </c>
      <c r="Q811" t="s">
        <v>158</v>
      </c>
      <c r="R811" t="s">
        <v>2159</v>
      </c>
      <c r="S811" t="s">
        <v>50</v>
      </c>
      <c r="T811">
        <v>7</v>
      </c>
      <c r="U811">
        <v>4396.6499999999996</v>
      </c>
      <c r="V811">
        <v>0.2</v>
      </c>
      <c r="W811">
        <v>0.2</v>
      </c>
      <c r="X811">
        <v>24621.24</v>
      </c>
      <c r="Y811">
        <f t="shared" si="96"/>
        <v>24621.24</v>
      </c>
      <c r="Z811">
        <v>17155.48</v>
      </c>
      <c r="AA811">
        <v>7465.76</v>
      </c>
      <c r="AB811">
        <f t="shared" si="101"/>
        <v>7465.760000000002</v>
      </c>
      <c r="AC811" s="8">
        <f t="shared" si="102"/>
        <v>0.30322437050286671</v>
      </c>
      <c r="AD811" t="s">
        <v>102</v>
      </c>
      <c r="AE811" t="s">
        <v>68</v>
      </c>
      <c r="AF811" t="str">
        <f t="shared" si="103"/>
        <v>Perfect Match</v>
      </c>
    </row>
    <row r="812" spans="1:32">
      <c r="A812" s="6" t="str">
        <f>IF(OR(I812&lt;0, ISTEXT(W812), ISTEXT(Y812)), "Invalid", IF(OR(B812="Conflicting Duplicate", M812="Unknown", S812="Unknown"), "Warning", "Valid"))</f>
        <v>Invalid</v>
      </c>
      <c r="B812" t="str">
        <f t="shared" si="97"/>
        <v>-</v>
      </c>
      <c r="C812" t="s">
        <v>2160</v>
      </c>
      <c r="D812" s="2">
        <v>45931</v>
      </c>
      <c r="E812" t="str">
        <f t="shared" si="98"/>
        <v>October</v>
      </c>
      <c r="F812">
        <f t="shared" si="99"/>
        <v>2025</v>
      </c>
      <c r="G812" s="2">
        <v>45933</v>
      </c>
      <c r="H812" t="s">
        <v>1824</v>
      </c>
      <c r="I812">
        <f t="shared" si="100"/>
        <v>2</v>
      </c>
      <c r="J812" t="s">
        <v>2795</v>
      </c>
      <c r="K812" t="s">
        <v>79</v>
      </c>
      <c r="L812" t="s">
        <v>90</v>
      </c>
      <c r="M812" t="s">
        <v>63</v>
      </c>
      <c r="N812" t="s">
        <v>190</v>
      </c>
      <c r="O812" t="s">
        <v>191</v>
      </c>
      <c r="P812" t="s">
        <v>28</v>
      </c>
      <c r="Q812" t="s">
        <v>48</v>
      </c>
      <c r="R812" t="s">
        <v>2161</v>
      </c>
      <c r="S812" t="s">
        <v>59</v>
      </c>
      <c r="T812">
        <v>9</v>
      </c>
      <c r="U812">
        <v>818.15</v>
      </c>
      <c r="V812">
        <v>0.55000000000000004</v>
      </c>
      <c r="W812" s="4" t="s">
        <v>2794</v>
      </c>
      <c r="X812">
        <v>6627.01</v>
      </c>
      <c r="Y812" s="4" t="str">
        <f t="shared" si="96"/>
        <v>Cannot Calculate</v>
      </c>
      <c r="Z812">
        <v>5606.79</v>
      </c>
      <c r="AA812">
        <v>1020.22</v>
      </c>
      <c r="AB812" s="4" t="str">
        <f t="shared" si="101"/>
        <v>Cannot Calculate</v>
      </c>
      <c r="AC812" s="9">
        <f t="shared" si="102"/>
        <v>0</v>
      </c>
      <c r="AD812" t="s">
        <v>155</v>
      </c>
      <c r="AE812" t="s">
        <v>68</v>
      </c>
      <c r="AF812" t="str">
        <f t="shared" si="103"/>
        <v>Calculation Blocked</v>
      </c>
    </row>
    <row r="813" spans="1:32">
      <c r="A813" t="str">
        <f>IF(OR(I813&lt;0, ISTEXT(W813), ISTEXT(Y813)), "Invalid", IF(OR(B813="Conflicting Duplicate", M813="Unknown", S813="Unknown"), "Warning", "Valid"))</f>
        <v>Valid</v>
      </c>
      <c r="B813" t="str">
        <f t="shared" si="97"/>
        <v>-</v>
      </c>
      <c r="C813" t="s">
        <v>2165</v>
      </c>
      <c r="D813" s="2">
        <v>45938</v>
      </c>
      <c r="E813" t="str">
        <f t="shared" si="98"/>
        <v>October</v>
      </c>
      <c r="F813">
        <f t="shared" si="99"/>
        <v>2025</v>
      </c>
      <c r="G813" s="2">
        <v>45943</v>
      </c>
      <c r="H813" t="s">
        <v>2166</v>
      </c>
      <c r="I813">
        <f t="shared" si="100"/>
        <v>5</v>
      </c>
      <c r="J813" t="s">
        <v>2795</v>
      </c>
      <c r="K813" t="s">
        <v>36</v>
      </c>
      <c r="L813" t="s">
        <v>95</v>
      </c>
      <c r="M813" t="s">
        <v>25</v>
      </c>
      <c r="N813" t="s">
        <v>122</v>
      </c>
      <c r="O813" t="s">
        <v>123</v>
      </c>
      <c r="P813" t="s">
        <v>41</v>
      </c>
      <c r="Q813" t="s">
        <v>42</v>
      </c>
      <c r="R813" t="s">
        <v>2167</v>
      </c>
      <c r="S813" t="s">
        <v>50</v>
      </c>
      <c r="T813">
        <v>4</v>
      </c>
      <c r="U813">
        <v>172.05</v>
      </c>
      <c r="V813">
        <v>0</v>
      </c>
      <c r="W813">
        <v>0</v>
      </c>
      <c r="X813">
        <v>688.2</v>
      </c>
      <c r="Y813">
        <f t="shared" si="96"/>
        <v>688.2</v>
      </c>
      <c r="Z813">
        <v>497.68</v>
      </c>
      <c r="AA813">
        <v>190.52</v>
      </c>
      <c r="AB813">
        <f t="shared" si="101"/>
        <v>190.52000000000004</v>
      </c>
      <c r="AC813" s="8">
        <f t="shared" si="102"/>
        <v>0.27683812845103173</v>
      </c>
      <c r="AD813" t="s">
        <v>155</v>
      </c>
      <c r="AE813" t="s">
        <v>68</v>
      </c>
      <c r="AF813" t="str">
        <f t="shared" si="103"/>
        <v>Perfect Match</v>
      </c>
    </row>
    <row r="814" spans="1:32">
      <c r="A814" t="str">
        <f>IF(OR(I814&lt;0, ISTEXT(W814), ISTEXT(Y814)), "Invalid", IF(OR(B814="Conflicting Duplicate", M814="Unknown", S814="Unknown"), "Warning", "Valid"))</f>
        <v>Valid</v>
      </c>
      <c r="B814" t="str">
        <f t="shared" si="97"/>
        <v>-</v>
      </c>
      <c r="C814" t="s">
        <v>2168</v>
      </c>
      <c r="D814" s="2">
        <v>45714</v>
      </c>
      <c r="E814" t="str">
        <f t="shared" si="98"/>
        <v>February</v>
      </c>
      <c r="F814">
        <f t="shared" si="99"/>
        <v>2025</v>
      </c>
      <c r="G814" s="2">
        <v>45715</v>
      </c>
      <c r="H814" t="s">
        <v>2169</v>
      </c>
      <c r="I814">
        <f t="shared" si="100"/>
        <v>1</v>
      </c>
      <c r="J814" t="s">
        <v>2795</v>
      </c>
      <c r="K814" t="s">
        <v>79</v>
      </c>
      <c r="L814" t="s">
        <v>95</v>
      </c>
      <c r="M814" t="s">
        <v>25</v>
      </c>
      <c r="N814" t="s">
        <v>236</v>
      </c>
      <c r="O814" t="s">
        <v>237</v>
      </c>
      <c r="P814" t="s">
        <v>28</v>
      </c>
      <c r="Q814" t="s">
        <v>48</v>
      </c>
      <c r="R814" t="s">
        <v>2170</v>
      </c>
      <c r="S814" t="s">
        <v>31</v>
      </c>
      <c r="T814">
        <v>6</v>
      </c>
      <c r="U814">
        <v>3037.66</v>
      </c>
      <c r="V814">
        <v>0.15</v>
      </c>
      <c r="W814">
        <v>0.15</v>
      </c>
      <c r="X814">
        <v>15492.07</v>
      </c>
      <c r="Y814">
        <f t="shared" si="96"/>
        <v>15492.07</v>
      </c>
      <c r="Z814">
        <v>12581.23</v>
      </c>
      <c r="AA814">
        <v>2910.84</v>
      </c>
      <c r="AB814">
        <f t="shared" si="101"/>
        <v>2910.84</v>
      </c>
      <c r="AC814" s="8">
        <f t="shared" si="102"/>
        <v>0.18789225713542479</v>
      </c>
      <c r="AD814" t="s">
        <v>32</v>
      </c>
      <c r="AE814" t="s">
        <v>33</v>
      </c>
      <c r="AF814" t="str">
        <f t="shared" si="103"/>
        <v>Perfect Match</v>
      </c>
    </row>
    <row r="815" spans="1:32">
      <c r="A815" t="str">
        <f>IF(OR(I815&lt;0, ISTEXT(W815), ISTEXT(Y815)), "Invalid", IF(OR(B815="Conflicting Duplicate", M815="Unknown", S815="Unknown"), "Warning", "Valid"))</f>
        <v>Valid</v>
      </c>
      <c r="B815" t="str">
        <f t="shared" si="97"/>
        <v>-</v>
      </c>
      <c r="C815" t="s">
        <v>2180</v>
      </c>
      <c r="D815" s="2">
        <v>45787</v>
      </c>
      <c r="E815" t="str">
        <f t="shared" si="98"/>
        <v>May</v>
      </c>
      <c r="F815">
        <f t="shared" si="99"/>
        <v>2025</v>
      </c>
      <c r="G815" s="2">
        <v>45940</v>
      </c>
      <c r="H815" t="s">
        <v>2181</v>
      </c>
      <c r="I815">
        <f t="shared" si="100"/>
        <v>153</v>
      </c>
      <c r="J815" t="s">
        <v>2795</v>
      </c>
      <c r="K815" t="s">
        <v>47</v>
      </c>
      <c r="L815" t="s">
        <v>1179</v>
      </c>
      <c r="M815" t="s">
        <v>54</v>
      </c>
      <c r="N815" t="s">
        <v>175</v>
      </c>
      <c r="O815" t="s">
        <v>176</v>
      </c>
      <c r="P815" t="s">
        <v>41</v>
      </c>
      <c r="Q815" t="s">
        <v>57</v>
      </c>
      <c r="R815" t="s">
        <v>2182</v>
      </c>
      <c r="S815" t="s">
        <v>31</v>
      </c>
      <c r="T815">
        <v>4</v>
      </c>
      <c r="U815">
        <v>2365.6799999999998</v>
      </c>
      <c r="V815">
        <v>0.1</v>
      </c>
      <c r="W815">
        <v>0.1</v>
      </c>
      <c r="X815">
        <v>8516.4500000000007</v>
      </c>
      <c r="Y815">
        <f t="shared" si="96"/>
        <v>8516.4500000000007</v>
      </c>
      <c r="Z815">
        <v>5903.81</v>
      </c>
      <c r="AA815">
        <v>2612.64</v>
      </c>
      <c r="AB815">
        <f t="shared" si="101"/>
        <v>2612.6400000000003</v>
      </c>
      <c r="AC815" s="8">
        <f t="shared" si="102"/>
        <v>0.3067757105366673</v>
      </c>
      <c r="AD815" t="s">
        <v>32</v>
      </c>
      <c r="AE815" t="s">
        <v>33</v>
      </c>
      <c r="AF815" t="str">
        <f t="shared" si="103"/>
        <v>Perfect Match</v>
      </c>
    </row>
    <row r="816" spans="1:32">
      <c r="A816" t="str">
        <f>IF(OR(I816&lt;0, ISTEXT(W816), ISTEXT(Y816)), "Invalid", IF(OR(B816="Conflicting Duplicate", M816="Unknown", S816="Unknown"), "Warning", "Valid"))</f>
        <v>Valid</v>
      </c>
      <c r="B816" t="str">
        <f t="shared" si="97"/>
        <v>-</v>
      </c>
      <c r="C816" t="s">
        <v>2183</v>
      </c>
      <c r="D816" s="2">
        <v>45720</v>
      </c>
      <c r="E816" t="str">
        <f t="shared" si="98"/>
        <v>March</v>
      </c>
      <c r="F816">
        <f t="shared" si="99"/>
        <v>2025</v>
      </c>
      <c r="G816" s="2">
        <v>45758</v>
      </c>
      <c r="H816" t="s">
        <v>2184</v>
      </c>
      <c r="I816">
        <f t="shared" si="100"/>
        <v>38</v>
      </c>
      <c r="J816" t="s">
        <v>2795</v>
      </c>
      <c r="K816" t="s">
        <v>53</v>
      </c>
      <c r="L816" t="s">
        <v>24</v>
      </c>
      <c r="M816" t="s">
        <v>54</v>
      </c>
      <c r="N816" t="s">
        <v>247</v>
      </c>
      <c r="O816" t="s">
        <v>248</v>
      </c>
      <c r="P816" t="s">
        <v>41</v>
      </c>
      <c r="Q816" t="s">
        <v>158</v>
      </c>
      <c r="R816" t="s">
        <v>2185</v>
      </c>
      <c r="S816" t="s">
        <v>31</v>
      </c>
      <c r="T816">
        <v>3</v>
      </c>
      <c r="U816">
        <v>4149.7700000000004</v>
      </c>
      <c r="V816">
        <v>0.05</v>
      </c>
      <c r="W816">
        <v>0.05</v>
      </c>
      <c r="X816">
        <v>11826.84</v>
      </c>
      <c r="Y816">
        <f t="shared" si="96"/>
        <v>11826.84</v>
      </c>
      <c r="Z816">
        <v>8035.96</v>
      </c>
      <c r="AA816">
        <v>3790.88</v>
      </c>
      <c r="AB816">
        <f t="shared" si="101"/>
        <v>3790.88</v>
      </c>
      <c r="AC816" s="8">
        <f t="shared" si="102"/>
        <v>0.32053194259836104</v>
      </c>
      <c r="AD816" t="s">
        <v>32</v>
      </c>
      <c r="AE816" t="s">
        <v>33</v>
      </c>
      <c r="AF816" t="str">
        <f t="shared" si="103"/>
        <v>Perfect Match</v>
      </c>
    </row>
    <row r="817" spans="1:32">
      <c r="A817" t="str">
        <f>IF(OR(I817&lt;0, ISTEXT(W817), ISTEXT(Y817)), "Invalid", IF(OR(B817="Conflicting Duplicate", M817="Unknown", S817="Unknown"), "Warning", "Valid"))</f>
        <v>Valid</v>
      </c>
      <c r="B817" t="str">
        <f t="shared" si="97"/>
        <v>-</v>
      </c>
      <c r="C817" t="s">
        <v>2186</v>
      </c>
      <c r="D817" s="2">
        <v>45665</v>
      </c>
      <c r="E817" t="str">
        <f t="shared" si="98"/>
        <v>January</v>
      </c>
      <c r="F817">
        <f t="shared" si="99"/>
        <v>2025</v>
      </c>
      <c r="G817" s="2">
        <v>45908</v>
      </c>
      <c r="H817" t="s">
        <v>1148</v>
      </c>
      <c r="I817">
        <f t="shared" si="100"/>
        <v>243</v>
      </c>
      <c r="J817" t="s">
        <v>2795</v>
      </c>
      <c r="K817" t="s">
        <v>47</v>
      </c>
      <c r="L817" t="s">
        <v>24</v>
      </c>
      <c r="M817" t="s">
        <v>54</v>
      </c>
      <c r="N817" t="s">
        <v>84</v>
      </c>
      <c r="O817" t="s">
        <v>85</v>
      </c>
      <c r="P817" t="s">
        <v>28</v>
      </c>
      <c r="Q817" t="s">
        <v>124</v>
      </c>
      <c r="R817" t="s">
        <v>2187</v>
      </c>
      <c r="S817" t="s">
        <v>50</v>
      </c>
      <c r="T817">
        <v>5</v>
      </c>
      <c r="U817">
        <v>2736.24</v>
      </c>
      <c r="V817">
        <v>0.15</v>
      </c>
      <c r="W817">
        <v>0.15</v>
      </c>
      <c r="X817">
        <v>11629.02</v>
      </c>
      <c r="Y817">
        <f t="shared" si="96"/>
        <v>11629.02</v>
      </c>
      <c r="Z817">
        <v>9627.2099999999991</v>
      </c>
      <c r="AA817">
        <v>2001.81</v>
      </c>
      <c r="AB817">
        <f t="shared" si="101"/>
        <v>2001.8100000000013</v>
      </c>
      <c r="AC817" s="8">
        <f t="shared" si="102"/>
        <v>0.17213918283741891</v>
      </c>
      <c r="AD817" t="s">
        <v>32</v>
      </c>
      <c r="AE817" t="s">
        <v>33</v>
      </c>
      <c r="AF817" t="str">
        <f t="shared" si="103"/>
        <v>Perfect Match</v>
      </c>
    </row>
    <row r="818" spans="1:32">
      <c r="A818" s="6" t="str">
        <f>IF(OR(I818&lt;0, ISTEXT(W818), ISTEXT(Y818)), "Invalid", IF(OR(B818="Conflicting Duplicate", M818="Unknown", S818="Unknown"), "Warning", "Valid"))</f>
        <v>Warning</v>
      </c>
      <c r="B818" t="str">
        <f t="shared" si="97"/>
        <v>-</v>
      </c>
      <c r="C818" t="s">
        <v>2191</v>
      </c>
      <c r="D818" s="2">
        <v>45922</v>
      </c>
      <c r="E818" t="str">
        <f t="shared" si="98"/>
        <v>September</v>
      </c>
      <c r="F818">
        <f t="shared" si="99"/>
        <v>2025</v>
      </c>
      <c r="G818" s="2">
        <v>45925</v>
      </c>
      <c r="H818" t="s">
        <v>2192</v>
      </c>
      <c r="I818">
        <f t="shared" si="100"/>
        <v>3</v>
      </c>
      <c r="J818" t="s">
        <v>2795</v>
      </c>
      <c r="K818" t="s">
        <v>47</v>
      </c>
      <c r="L818" t="s">
        <v>37</v>
      </c>
      <c r="M818" t="s">
        <v>54</v>
      </c>
      <c r="N818" t="s">
        <v>185</v>
      </c>
      <c r="O818" t="s">
        <v>186</v>
      </c>
      <c r="P818" t="s">
        <v>74</v>
      </c>
      <c r="Q818" t="s">
        <v>171</v>
      </c>
      <c r="R818" t="s">
        <v>2193</v>
      </c>
      <c r="S818" s="4" t="s">
        <v>2790</v>
      </c>
      <c r="T818">
        <v>4</v>
      </c>
      <c r="U818">
        <v>1178.8399999999999</v>
      </c>
      <c r="V818">
        <v>0.25</v>
      </c>
      <c r="W818">
        <v>0.25</v>
      </c>
      <c r="X818">
        <v>3536.52</v>
      </c>
      <c r="Y818">
        <f t="shared" si="96"/>
        <v>3536.52</v>
      </c>
      <c r="Z818">
        <v>2102.41</v>
      </c>
      <c r="AA818">
        <v>1363.28</v>
      </c>
      <c r="AB818">
        <f t="shared" si="101"/>
        <v>1434.1100000000001</v>
      </c>
      <c r="AC818" s="8">
        <f t="shared" si="102"/>
        <v>0.40551446054313284</v>
      </c>
      <c r="AD818" t="s">
        <v>32</v>
      </c>
      <c r="AE818" t="s">
        <v>33</v>
      </c>
      <c r="AF818" t="str">
        <f t="shared" si="103"/>
        <v>Mismatch Found</v>
      </c>
    </row>
    <row r="819" spans="1:32">
      <c r="A819" s="6" t="str">
        <f>IF(OR(I819&lt;0, ISTEXT(W819), ISTEXT(Y819)), "Invalid", IF(OR(B819="Conflicting Duplicate", M819="Unknown", S819="Unknown"), "Warning", "Valid"))</f>
        <v>Invalid</v>
      </c>
      <c r="B819" t="str">
        <f t="shared" si="97"/>
        <v>-</v>
      </c>
      <c r="C819" t="s">
        <v>2194</v>
      </c>
      <c r="D819" s="2">
        <v>45717</v>
      </c>
      <c r="E819" t="str">
        <f t="shared" si="98"/>
        <v>March</v>
      </c>
      <c r="F819">
        <f t="shared" si="99"/>
        <v>2025</v>
      </c>
      <c r="G819" s="2">
        <v>45841</v>
      </c>
      <c r="H819" t="s">
        <v>2195</v>
      </c>
      <c r="I819">
        <f t="shared" si="100"/>
        <v>124</v>
      </c>
      <c r="J819" t="s">
        <v>2795</v>
      </c>
      <c r="K819" t="s">
        <v>53</v>
      </c>
      <c r="L819" t="s">
        <v>90</v>
      </c>
      <c r="M819" t="s">
        <v>54</v>
      </c>
      <c r="N819" t="s">
        <v>84</v>
      </c>
      <c r="O819" t="s">
        <v>85</v>
      </c>
      <c r="P819" t="s">
        <v>28</v>
      </c>
      <c r="Q819" t="s">
        <v>91</v>
      </c>
      <c r="R819" t="s">
        <v>2196</v>
      </c>
      <c r="S819" t="s">
        <v>50</v>
      </c>
      <c r="T819">
        <v>7</v>
      </c>
      <c r="U819">
        <v>567.15</v>
      </c>
      <c r="V819" s="4" t="str">
        <f>IF(ROUND(T801*U801, 2)=ROUND(X801, 2), 0, "Flag - Missing Value")</f>
        <v>Flag - Missing Value</v>
      </c>
      <c r="W819" s="4" t="s">
        <v>2794</v>
      </c>
      <c r="X819">
        <v>2977.54</v>
      </c>
      <c r="Y819" s="4" t="str">
        <f t="shared" si="96"/>
        <v>Cannot Calculate</v>
      </c>
      <c r="Z819">
        <v>1849.3</v>
      </c>
      <c r="AA819">
        <v>1128.24</v>
      </c>
      <c r="AB819" s="4" t="str">
        <f t="shared" si="101"/>
        <v>Cannot Calculate</v>
      </c>
      <c r="AC819" s="9">
        <f t="shared" si="102"/>
        <v>0</v>
      </c>
      <c r="AD819" t="s">
        <v>102</v>
      </c>
      <c r="AE819" t="s">
        <v>103</v>
      </c>
      <c r="AF819" t="str">
        <f t="shared" si="103"/>
        <v>Calculation Blocked</v>
      </c>
    </row>
    <row r="820" spans="1:32">
      <c r="A820" t="str">
        <f>IF(OR(I820&lt;0, ISTEXT(W820), ISTEXT(Y820)), "Invalid", IF(OR(B820="Conflicting Duplicate", M820="Unknown", S820="Unknown"), "Warning", "Valid"))</f>
        <v>Valid</v>
      </c>
      <c r="B820" t="str">
        <f t="shared" si="97"/>
        <v>-</v>
      </c>
      <c r="C820" t="s">
        <v>2209</v>
      </c>
      <c r="D820" s="2">
        <v>45690</v>
      </c>
      <c r="E820" t="str">
        <f t="shared" si="98"/>
        <v>February</v>
      </c>
      <c r="F820">
        <f t="shared" si="99"/>
        <v>2025</v>
      </c>
      <c r="G820" s="2">
        <v>45694</v>
      </c>
      <c r="H820" t="s">
        <v>2210</v>
      </c>
      <c r="I820">
        <f t="shared" si="100"/>
        <v>4</v>
      </c>
      <c r="J820" t="s">
        <v>2795</v>
      </c>
      <c r="K820" t="s">
        <v>23</v>
      </c>
      <c r="L820" t="s">
        <v>37</v>
      </c>
      <c r="M820" t="s">
        <v>63</v>
      </c>
      <c r="N820" t="s">
        <v>26</v>
      </c>
      <c r="O820" t="s">
        <v>109</v>
      </c>
      <c r="P820" t="s">
        <v>41</v>
      </c>
      <c r="Q820" t="s">
        <v>42</v>
      </c>
      <c r="R820" t="s">
        <v>2211</v>
      </c>
      <c r="S820" t="s">
        <v>31</v>
      </c>
      <c r="T820">
        <v>3</v>
      </c>
      <c r="U820">
        <v>997.34</v>
      </c>
      <c r="V820">
        <v>0.1</v>
      </c>
      <c r="W820">
        <v>0.1</v>
      </c>
      <c r="X820">
        <v>2692.82</v>
      </c>
      <c r="Y820">
        <f t="shared" si="96"/>
        <v>2692.82</v>
      </c>
      <c r="Z820">
        <v>1820.08</v>
      </c>
      <c r="AA820">
        <v>872.74</v>
      </c>
      <c r="AB820">
        <f t="shared" si="101"/>
        <v>872.74000000000024</v>
      </c>
      <c r="AC820" s="8">
        <f t="shared" si="102"/>
        <v>0.32409890003787856</v>
      </c>
      <c r="AD820" t="s">
        <v>32</v>
      </c>
      <c r="AE820" t="s">
        <v>33</v>
      </c>
      <c r="AF820" t="str">
        <f t="shared" si="103"/>
        <v>Perfect Match</v>
      </c>
    </row>
    <row r="821" spans="1:32">
      <c r="A821" s="6" t="str">
        <f>IF(OR(I821&lt;0, ISTEXT(W821), ISTEXT(Y821)), "Invalid", IF(OR(B821="Conflicting Duplicate", M821="Unknown", S821="Unknown"), "Warning", "Valid"))</f>
        <v>Invalid</v>
      </c>
      <c r="B821" t="str">
        <f t="shared" si="97"/>
        <v>-</v>
      </c>
      <c r="C821" t="s">
        <v>2224</v>
      </c>
      <c r="D821" s="2">
        <v>45832</v>
      </c>
      <c r="E821" t="str">
        <f t="shared" si="98"/>
        <v>June</v>
      </c>
      <c r="F821">
        <f t="shared" si="99"/>
        <v>2025</v>
      </c>
      <c r="G821" s="2">
        <v>45834</v>
      </c>
      <c r="H821" t="s">
        <v>2225</v>
      </c>
      <c r="I821">
        <f t="shared" si="100"/>
        <v>2</v>
      </c>
      <c r="J821" t="s">
        <v>2795</v>
      </c>
      <c r="K821" t="s">
        <v>71</v>
      </c>
      <c r="L821" t="s">
        <v>24</v>
      </c>
      <c r="M821" t="s">
        <v>25</v>
      </c>
      <c r="N821" t="s">
        <v>26</v>
      </c>
      <c r="O821" t="s">
        <v>27</v>
      </c>
      <c r="P821" t="s">
        <v>74</v>
      </c>
      <c r="Q821" t="s">
        <v>75</v>
      </c>
      <c r="R821" t="s">
        <v>2226</v>
      </c>
      <c r="S821" t="s">
        <v>44</v>
      </c>
      <c r="T821">
        <v>5</v>
      </c>
      <c r="U821">
        <v>3722.66</v>
      </c>
      <c r="V821">
        <v>0.55000000000000004</v>
      </c>
      <c r="W821" s="4" t="s">
        <v>2794</v>
      </c>
      <c r="X821">
        <v>16751.97</v>
      </c>
      <c r="Y821" s="4" t="str">
        <f t="shared" si="96"/>
        <v>Cannot Calculate</v>
      </c>
      <c r="Z821">
        <v>11678.32</v>
      </c>
      <c r="AA821">
        <v>5073.6499999999996</v>
      </c>
      <c r="AB821" s="4" t="str">
        <f t="shared" si="101"/>
        <v>Cannot Calculate</v>
      </c>
      <c r="AC821" s="9">
        <f t="shared" si="102"/>
        <v>0</v>
      </c>
      <c r="AD821" t="s">
        <v>32</v>
      </c>
      <c r="AE821" t="s">
        <v>33</v>
      </c>
      <c r="AF821" t="str">
        <f t="shared" si="103"/>
        <v>Calculation Blocked</v>
      </c>
    </row>
    <row r="822" spans="1:32">
      <c r="A822" t="str">
        <f>IF(OR(I822&lt;0, ISTEXT(W822), ISTEXT(Y822)), "Invalid", IF(OR(B822="Conflicting Duplicate", M822="Unknown", S822="Unknown"), "Warning", "Valid"))</f>
        <v>Valid</v>
      </c>
      <c r="B822" t="str">
        <f t="shared" si="97"/>
        <v>-</v>
      </c>
      <c r="C822" t="s">
        <v>2227</v>
      </c>
      <c r="D822" s="2">
        <v>45736</v>
      </c>
      <c r="E822" t="str">
        <f t="shared" si="98"/>
        <v>March</v>
      </c>
      <c r="F822">
        <f t="shared" si="99"/>
        <v>2025</v>
      </c>
      <c r="G822" s="2">
        <v>45742</v>
      </c>
      <c r="H822" t="s">
        <v>2228</v>
      </c>
      <c r="I822">
        <f t="shared" si="100"/>
        <v>6</v>
      </c>
      <c r="J822" t="s">
        <v>2795</v>
      </c>
      <c r="K822" t="s">
        <v>132</v>
      </c>
      <c r="L822" t="s">
        <v>24</v>
      </c>
      <c r="M822" t="s">
        <v>38</v>
      </c>
      <c r="N822" t="s">
        <v>166</v>
      </c>
      <c r="O822" t="s">
        <v>167</v>
      </c>
      <c r="P822" t="s">
        <v>41</v>
      </c>
      <c r="Q822" t="s">
        <v>158</v>
      </c>
      <c r="R822" t="s">
        <v>2229</v>
      </c>
      <c r="S822" t="s">
        <v>50</v>
      </c>
      <c r="T822">
        <v>4</v>
      </c>
      <c r="U822">
        <v>4357.66</v>
      </c>
      <c r="V822">
        <v>0.05</v>
      </c>
      <c r="W822">
        <v>0.05</v>
      </c>
      <c r="X822">
        <v>16559.11</v>
      </c>
      <c r="Y822">
        <f t="shared" si="96"/>
        <v>16559.11</v>
      </c>
      <c r="Z822">
        <v>13233.79</v>
      </c>
      <c r="AA822">
        <v>3325.32</v>
      </c>
      <c r="AB822">
        <f t="shared" si="101"/>
        <v>3325.3199999999997</v>
      </c>
      <c r="AC822" s="8">
        <f t="shared" si="102"/>
        <v>0.20081514042723309</v>
      </c>
      <c r="AD822" t="s">
        <v>32</v>
      </c>
      <c r="AE822" t="s">
        <v>33</v>
      </c>
      <c r="AF822" t="str">
        <f t="shared" si="103"/>
        <v>Perfect Match</v>
      </c>
    </row>
    <row r="823" spans="1:32">
      <c r="A823" t="str">
        <f>IF(OR(I823&lt;0, ISTEXT(W823), ISTEXT(Y823)), "Invalid", IF(OR(B823="Conflicting Duplicate", M823="Unknown", S823="Unknown"), "Warning", "Valid"))</f>
        <v>Valid</v>
      </c>
      <c r="B823" t="str">
        <f t="shared" si="97"/>
        <v>-</v>
      </c>
      <c r="C823" t="s">
        <v>2230</v>
      </c>
      <c r="D823" s="2">
        <v>45676</v>
      </c>
      <c r="E823" t="str">
        <f t="shared" si="98"/>
        <v>January</v>
      </c>
      <c r="F823">
        <f t="shared" si="99"/>
        <v>2025</v>
      </c>
      <c r="G823" s="2">
        <v>45680</v>
      </c>
      <c r="H823" t="s">
        <v>2231</v>
      </c>
      <c r="I823">
        <f t="shared" si="100"/>
        <v>4</v>
      </c>
      <c r="J823" t="s">
        <v>2795</v>
      </c>
      <c r="K823" t="s">
        <v>264</v>
      </c>
      <c r="L823" t="s">
        <v>95</v>
      </c>
      <c r="M823" t="s">
        <v>25</v>
      </c>
      <c r="N823" t="s">
        <v>122</v>
      </c>
      <c r="O823" t="s">
        <v>123</v>
      </c>
      <c r="P823" t="s">
        <v>74</v>
      </c>
      <c r="Q823" t="s">
        <v>171</v>
      </c>
      <c r="R823" t="s">
        <v>2232</v>
      </c>
      <c r="S823" t="s">
        <v>44</v>
      </c>
      <c r="T823">
        <v>7</v>
      </c>
      <c r="U823">
        <v>1363.04</v>
      </c>
      <c r="V823">
        <v>0.15</v>
      </c>
      <c r="W823">
        <v>0.15</v>
      </c>
      <c r="X823">
        <v>8110.09</v>
      </c>
      <c r="Y823">
        <f t="shared" si="96"/>
        <v>8110.09</v>
      </c>
      <c r="Z823">
        <v>6417.32</v>
      </c>
      <c r="AA823">
        <v>1692.77</v>
      </c>
      <c r="AB823">
        <f t="shared" si="101"/>
        <v>1692.7700000000004</v>
      </c>
      <c r="AC823" s="8">
        <f t="shared" si="102"/>
        <v>0.20872394757641413</v>
      </c>
      <c r="AD823" t="s">
        <v>32</v>
      </c>
      <c r="AE823" t="s">
        <v>68</v>
      </c>
      <c r="AF823" t="str">
        <f t="shared" si="103"/>
        <v>Perfect Match</v>
      </c>
    </row>
    <row r="824" spans="1:32">
      <c r="A824" t="str">
        <f>IF(OR(I824&lt;0, ISTEXT(W824), ISTEXT(Y824)), "Invalid", IF(OR(B824="Conflicting Duplicate", M824="Unknown", S824="Unknown"), "Warning", "Valid"))</f>
        <v>Valid</v>
      </c>
      <c r="B824" t="str">
        <f t="shared" si="97"/>
        <v>-</v>
      </c>
      <c r="C824" t="s">
        <v>2236</v>
      </c>
      <c r="D824" s="2">
        <v>45690</v>
      </c>
      <c r="E824" t="str">
        <f t="shared" si="98"/>
        <v>February</v>
      </c>
      <c r="F824">
        <f t="shared" si="99"/>
        <v>2025</v>
      </c>
      <c r="G824" s="2">
        <v>45690</v>
      </c>
      <c r="H824" t="s">
        <v>2237</v>
      </c>
      <c r="I824">
        <f t="shared" si="100"/>
        <v>0</v>
      </c>
      <c r="J824" t="s">
        <v>2795</v>
      </c>
      <c r="K824" t="s">
        <v>264</v>
      </c>
      <c r="L824" t="s">
        <v>90</v>
      </c>
      <c r="M824" t="s">
        <v>38</v>
      </c>
      <c r="N824" t="s">
        <v>99</v>
      </c>
      <c r="O824" t="s">
        <v>100</v>
      </c>
      <c r="P824" t="s">
        <v>74</v>
      </c>
      <c r="Q824" t="s">
        <v>274</v>
      </c>
      <c r="R824" t="s">
        <v>2238</v>
      </c>
      <c r="S824" t="s">
        <v>50</v>
      </c>
      <c r="T824">
        <v>1</v>
      </c>
      <c r="U824">
        <v>4326.75</v>
      </c>
      <c r="V824">
        <v>0.05</v>
      </c>
      <c r="W824">
        <v>0.05</v>
      </c>
      <c r="X824">
        <v>4110.41</v>
      </c>
      <c r="Y824">
        <f t="shared" si="96"/>
        <v>4110.41</v>
      </c>
      <c r="Z824">
        <v>2394.14</v>
      </c>
      <c r="AA824">
        <v>1716.27</v>
      </c>
      <c r="AB824">
        <f t="shared" si="101"/>
        <v>1716.27</v>
      </c>
      <c r="AC824" s="8">
        <f t="shared" si="102"/>
        <v>0.41754228896874035</v>
      </c>
      <c r="AD824" t="s">
        <v>111</v>
      </c>
      <c r="AE824" t="s">
        <v>103</v>
      </c>
      <c r="AF824" t="str">
        <f t="shared" si="103"/>
        <v>Perfect Match</v>
      </c>
    </row>
    <row r="825" spans="1:32">
      <c r="A825" t="str">
        <f>IF(OR(I825&lt;0, ISTEXT(W825), ISTEXT(Y825)), "Invalid", IF(OR(B825="Conflicting Duplicate", M825="Unknown", S825="Unknown"), "Warning", "Valid"))</f>
        <v>Valid</v>
      </c>
      <c r="B825" t="str">
        <f t="shared" si="97"/>
        <v>-</v>
      </c>
      <c r="C825" t="s">
        <v>2242</v>
      </c>
      <c r="D825" s="2">
        <v>45814</v>
      </c>
      <c r="E825" t="str">
        <f t="shared" si="98"/>
        <v>June</v>
      </c>
      <c r="F825">
        <f t="shared" si="99"/>
        <v>2025</v>
      </c>
      <c r="G825" s="2">
        <v>45818</v>
      </c>
      <c r="H825" t="s">
        <v>602</v>
      </c>
      <c r="I825">
        <f t="shared" si="100"/>
        <v>4</v>
      </c>
      <c r="J825" t="s">
        <v>2795</v>
      </c>
      <c r="K825" t="s">
        <v>36</v>
      </c>
      <c r="L825" t="s">
        <v>24</v>
      </c>
      <c r="M825" t="s">
        <v>63</v>
      </c>
      <c r="N825" t="s">
        <v>26</v>
      </c>
      <c r="O825" t="s">
        <v>109</v>
      </c>
      <c r="P825" t="s">
        <v>74</v>
      </c>
      <c r="Q825" t="s">
        <v>274</v>
      </c>
      <c r="R825" t="s">
        <v>2243</v>
      </c>
      <c r="S825" t="s">
        <v>31</v>
      </c>
      <c r="T825">
        <v>1</v>
      </c>
      <c r="U825">
        <v>289.97000000000003</v>
      </c>
      <c r="V825">
        <v>0.25</v>
      </c>
      <c r="W825">
        <v>0.25</v>
      </c>
      <c r="X825">
        <v>217.48</v>
      </c>
      <c r="Y825">
        <f t="shared" si="96"/>
        <v>217.48</v>
      </c>
      <c r="Z825">
        <v>132.13</v>
      </c>
      <c r="AA825">
        <v>85.35</v>
      </c>
      <c r="AB825">
        <f t="shared" si="101"/>
        <v>85.35</v>
      </c>
      <c r="AC825" s="8">
        <f t="shared" si="102"/>
        <v>0.39244988044877688</v>
      </c>
      <c r="AD825" t="s">
        <v>32</v>
      </c>
      <c r="AE825" t="s">
        <v>33</v>
      </c>
      <c r="AF825" t="str">
        <f t="shared" si="103"/>
        <v>Perfect Match</v>
      </c>
    </row>
    <row r="826" spans="1:32">
      <c r="A826" t="str">
        <f>IF(OR(I826&lt;0, ISTEXT(W826), ISTEXT(Y826)), "Invalid", IF(OR(B826="Conflicting Duplicate", M826="Unknown", S826="Unknown"), "Warning", "Valid"))</f>
        <v>Valid</v>
      </c>
      <c r="B826" t="str">
        <f t="shared" si="97"/>
        <v>-</v>
      </c>
      <c r="C826" t="s">
        <v>2244</v>
      </c>
      <c r="D826" s="2">
        <v>45738</v>
      </c>
      <c r="E826" t="str">
        <f t="shared" si="98"/>
        <v>March</v>
      </c>
      <c r="F826">
        <f t="shared" si="99"/>
        <v>2025</v>
      </c>
      <c r="G826" s="2">
        <v>45739</v>
      </c>
      <c r="H826" t="s">
        <v>2245</v>
      </c>
      <c r="I826">
        <f t="shared" si="100"/>
        <v>1</v>
      </c>
      <c r="J826" t="s">
        <v>2795</v>
      </c>
      <c r="K826" t="s">
        <v>23</v>
      </c>
      <c r="L826" t="s">
        <v>95</v>
      </c>
      <c r="M826" t="s">
        <v>25</v>
      </c>
      <c r="N826" t="s">
        <v>350</v>
      </c>
      <c r="O826" t="s">
        <v>351</v>
      </c>
      <c r="P826" t="s">
        <v>74</v>
      </c>
      <c r="Q826" t="s">
        <v>80</v>
      </c>
      <c r="R826" t="s">
        <v>2246</v>
      </c>
      <c r="S826" t="s">
        <v>59</v>
      </c>
      <c r="T826">
        <v>9</v>
      </c>
      <c r="U826">
        <v>2075.02</v>
      </c>
      <c r="V826">
        <v>0</v>
      </c>
      <c r="W826">
        <v>0</v>
      </c>
      <c r="X826">
        <v>18675.18</v>
      </c>
      <c r="Y826">
        <f t="shared" si="96"/>
        <v>18675.18</v>
      </c>
      <c r="Z826">
        <v>13974.7</v>
      </c>
      <c r="AA826">
        <v>4700.4799999999996</v>
      </c>
      <c r="AB826">
        <f t="shared" si="101"/>
        <v>4700.4799999999996</v>
      </c>
      <c r="AC826" s="8">
        <f t="shared" si="102"/>
        <v>0.25169663692665878</v>
      </c>
      <c r="AD826" t="s">
        <v>32</v>
      </c>
      <c r="AE826" t="s">
        <v>33</v>
      </c>
      <c r="AF826" t="str">
        <f t="shared" si="103"/>
        <v>Perfect Match</v>
      </c>
    </row>
    <row r="827" spans="1:32">
      <c r="A827" t="str">
        <f>IF(OR(I827&lt;0, ISTEXT(W827), ISTEXT(Y827)), "Invalid", IF(OR(B827="Conflicting Duplicate", M827="Unknown", S827="Unknown"), "Warning", "Valid"))</f>
        <v>Valid</v>
      </c>
      <c r="B827" t="str">
        <f t="shared" si="97"/>
        <v>-</v>
      </c>
      <c r="C827" t="s">
        <v>2247</v>
      </c>
      <c r="D827" s="2">
        <v>45891</v>
      </c>
      <c r="E827" t="str">
        <f t="shared" si="98"/>
        <v>August</v>
      </c>
      <c r="F827">
        <f t="shared" si="99"/>
        <v>2025</v>
      </c>
      <c r="G827" s="2">
        <v>45896</v>
      </c>
      <c r="H827" t="s">
        <v>2248</v>
      </c>
      <c r="I827">
        <f t="shared" si="100"/>
        <v>5</v>
      </c>
      <c r="J827" t="s">
        <v>2795</v>
      </c>
      <c r="K827" t="s">
        <v>114</v>
      </c>
      <c r="L827" t="s">
        <v>24</v>
      </c>
      <c r="M827" t="s">
        <v>25</v>
      </c>
      <c r="N827" t="s">
        <v>236</v>
      </c>
      <c r="O827" t="s">
        <v>237</v>
      </c>
      <c r="P827" t="s">
        <v>41</v>
      </c>
      <c r="Q827" t="s">
        <v>66</v>
      </c>
      <c r="R827" t="s">
        <v>2249</v>
      </c>
      <c r="S827" t="s">
        <v>31</v>
      </c>
      <c r="T827">
        <v>7</v>
      </c>
      <c r="U827">
        <v>2843.09</v>
      </c>
      <c r="V827">
        <v>0</v>
      </c>
      <c r="W827">
        <v>0</v>
      </c>
      <c r="X827">
        <v>19901.63</v>
      </c>
      <c r="Y827">
        <f t="shared" si="96"/>
        <v>19901.63</v>
      </c>
      <c r="Z827">
        <v>15492.03</v>
      </c>
      <c r="AA827">
        <v>4409.6000000000004</v>
      </c>
      <c r="AB827">
        <f t="shared" si="101"/>
        <v>4409.6000000000004</v>
      </c>
      <c r="AC827" s="8">
        <f t="shared" si="102"/>
        <v>0.22156979101711771</v>
      </c>
      <c r="AD827" t="s">
        <v>102</v>
      </c>
      <c r="AE827" t="s">
        <v>68</v>
      </c>
      <c r="AF827" t="str">
        <f t="shared" si="103"/>
        <v>Perfect Match</v>
      </c>
    </row>
    <row r="828" spans="1:32">
      <c r="A828" t="str">
        <f>IF(OR(I828&lt;0, ISTEXT(W828), ISTEXT(Y828)), "Invalid", IF(OR(B828="Conflicting Duplicate", M828="Unknown", S828="Unknown"), "Warning", "Valid"))</f>
        <v>Valid</v>
      </c>
      <c r="B828" t="str">
        <f t="shared" si="97"/>
        <v>-</v>
      </c>
      <c r="C828" t="s">
        <v>2250</v>
      </c>
      <c r="D828" s="2">
        <v>45895</v>
      </c>
      <c r="E828" t="str">
        <f t="shared" si="98"/>
        <v>August</v>
      </c>
      <c r="F828">
        <f t="shared" si="99"/>
        <v>2025</v>
      </c>
      <c r="G828" s="2">
        <v>45900</v>
      </c>
      <c r="H828" t="s">
        <v>2251</v>
      </c>
      <c r="I828">
        <f t="shared" si="100"/>
        <v>5</v>
      </c>
      <c r="J828" t="s">
        <v>2795</v>
      </c>
      <c r="K828" t="s">
        <v>162</v>
      </c>
      <c r="L828" t="s">
        <v>37</v>
      </c>
      <c r="M828" t="s">
        <v>25</v>
      </c>
      <c r="N828" t="s">
        <v>236</v>
      </c>
      <c r="O828" t="s">
        <v>237</v>
      </c>
      <c r="P828" t="s">
        <v>74</v>
      </c>
      <c r="Q828" t="s">
        <v>171</v>
      </c>
      <c r="R828" t="s">
        <v>2252</v>
      </c>
      <c r="S828" t="s">
        <v>50</v>
      </c>
      <c r="T828">
        <v>1</v>
      </c>
      <c r="U828">
        <v>3388.02</v>
      </c>
      <c r="V828">
        <v>0.15</v>
      </c>
      <c r="W828">
        <v>0.15</v>
      </c>
      <c r="X828">
        <v>2879.82</v>
      </c>
      <c r="Y828">
        <f t="shared" si="96"/>
        <v>2879.82</v>
      </c>
      <c r="Z828">
        <v>1824.88</v>
      </c>
      <c r="AA828">
        <v>1054.94</v>
      </c>
      <c r="AB828">
        <f t="shared" si="101"/>
        <v>1054.94</v>
      </c>
      <c r="AC828" s="8">
        <f t="shared" si="102"/>
        <v>0.36632150620524895</v>
      </c>
      <c r="AD828" t="s">
        <v>32</v>
      </c>
      <c r="AE828" t="s">
        <v>33</v>
      </c>
      <c r="AF828" t="str">
        <f t="shared" si="103"/>
        <v>Perfect Match</v>
      </c>
    </row>
    <row r="829" spans="1:32">
      <c r="A829" s="6" t="str">
        <f>IF(OR(I829&lt;0, ISTEXT(W829), ISTEXT(Y829)), "Invalid", IF(OR(B829="Conflicting Duplicate", M829="Unknown", S829="Unknown"), "Warning", "Valid"))</f>
        <v>Invalid</v>
      </c>
      <c r="B829" t="str">
        <f t="shared" si="97"/>
        <v>-</v>
      </c>
      <c r="C829" t="s">
        <v>2253</v>
      </c>
      <c r="D829" s="2">
        <v>46001</v>
      </c>
      <c r="E829" t="str">
        <f t="shared" si="98"/>
        <v>December</v>
      </c>
      <c r="F829">
        <f t="shared" si="99"/>
        <v>2025</v>
      </c>
      <c r="G829" s="2">
        <v>45945</v>
      </c>
      <c r="H829" t="s">
        <v>2254</v>
      </c>
      <c r="I829" s="7">
        <f t="shared" si="100"/>
        <v>-56</v>
      </c>
      <c r="J829" s="7" t="s">
        <v>2802</v>
      </c>
      <c r="K829" t="s">
        <v>264</v>
      </c>
      <c r="L829" t="s">
        <v>37</v>
      </c>
      <c r="M829" t="s">
        <v>25</v>
      </c>
      <c r="N829" t="s">
        <v>236</v>
      </c>
      <c r="O829" t="s">
        <v>237</v>
      </c>
      <c r="P829" t="s">
        <v>74</v>
      </c>
      <c r="Q829" t="s">
        <v>274</v>
      </c>
      <c r="R829" t="s">
        <v>2255</v>
      </c>
      <c r="S829" t="s">
        <v>59</v>
      </c>
      <c r="T829">
        <v>9</v>
      </c>
      <c r="U829">
        <v>2598.92</v>
      </c>
      <c r="V829">
        <v>0.2</v>
      </c>
      <c r="W829">
        <v>0.2</v>
      </c>
      <c r="X829">
        <v>18712.22</v>
      </c>
      <c r="Y829">
        <f t="shared" si="96"/>
        <v>18712.22</v>
      </c>
      <c r="Z829">
        <v>11852.22</v>
      </c>
      <c r="AA829">
        <v>6860</v>
      </c>
      <c r="AB829">
        <f t="shared" si="101"/>
        <v>6860.0000000000018</v>
      </c>
      <c r="AC829" s="8">
        <f t="shared" si="102"/>
        <v>0.36660535201061134</v>
      </c>
      <c r="AD829" t="s">
        <v>111</v>
      </c>
      <c r="AE829" t="s">
        <v>68</v>
      </c>
      <c r="AF829" t="str">
        <f t="shared" si="103"/>
        <v>Perfect Match</v>
      </c>
    </row>
    <row r="830" spans="1:32">
      <c r="A830" t="str">
        <f>IF(OR(I830&lt;0, ISTEXT(W830), ISTEXT(Y830)), "Invalid", IF(OR(B830="Conflicting Duplicate", M830="Unknown", S830="Unknown"), "Warning", "Valid"))</f>
        <v>Valid</v>
      </c>
      <c r="B830" t="str">
        <f t="shared" si="97"/>
        <v>-</v>
      </c>
      <c r="C830" t="s">
        <v>2259</v>
      </c>
      <c r="D830" s="2">
        <v>45908</v>
      </c>
      <c r="E830" t="str">
        <f t="shared" si="98"/>
        <v>September</v>
      </c>
      <c r="F830">
        <f t="shared" si="99"/>
        <v>2025</v>
      </c>
      <c r="G830" s="2">
        <v>45909</v>
      </c>
      <c r="H830" t="s">
        <v>144</v>
      </c>
      <c r="I830">
        <f t="shared" si="100"/>
        <v>1</v>
      </c>
      <c r="J830" t="s">
        <v>2795</v>
      </c>
      <c r="K830" t="s">
        <v>264</v>
      </c>
      <c r="L830" t="s">
        <v>90</v>
      </c>
      <c r="M830" t="s">
        <v>63</v>
      </c>
      <c r="N830" t="s">
        <v>180</v>
      </c>
      <c r="O830" t="s">
        <v>181</v>
      </c>
      <c r="P830" t="s">
        <v>28</v>
      </c>
      <c r="Q830" t="s">
        <v>48</v>
      </c>
      <c r="R830" t="s">
        <v>2260</v>
      </c>
      <c r="S830" t="s">
        <v>44</v>
      </c>
      <c r="T830">
        <v>2</v>
      </c>
      <c r="U830">
        <v>2372.41</v>
      </c>
      <c r="V830">
        <v>0.2</v>
      </c>
      <c r="W830">
        <v>0.2</v>
      </c>
      <c r="X830">
        <v>3795.86</v>
      </c>
      <c r="Y830">
        <f t="shared" si="96"/>
        <v>3795.86</v>
      </c>
      <c r="Z830">
        <v>2264.92</v>
      </c>
      <c r="AA830">
        <v>1530.94</v>
      </c>
      <c r="AB830">
        <f t="shared" si="101"/>
        <v>1530.94</v>
      </c>
      <c r="AC830" s="8">
        <f t="shared" si="102"/>
        <v>0.40331835209939249</v>
      </c>
      <c r="AD830" t="s">
        <v>32</v>
      </c>
      <c r="AE830" t="s">
        <v>33</v>
      </c>
      <c r="AF830" t="str">
        <f t="shared" si="103"/>
        <v>Perfect Match</v>
      </c>
    </row>
    <row r="831" spans="1:32">
      <c r="A831" t="str">
        <f>IF(OR(I831&lt;0, ISTEXT(W831), ISTEXT(Y831)), "Invalid", IF(OR(B831="Conflicting Duplicate", M831="Unknown", S831="Unknown"), "Warning", "Valid"))</f>
        <v>Valid</v>
      </c>
      <c r="B831" t="str">
        <f t="shared" si="97"/>
        <v>-</v>
      </c>
      <c r="C831" t="s">
        <v>2264</v>
      </c>
      <c r="D831" s="2">
        <v>45827</v>
      </c>
      <c r="E831" t="str">
        <f t="shared" si="98"/>
        <v>June</v>
      </c>
      <c r="F831">
        <f t="shared" si="99"/>
        <v>2025</v>
      </c>
      <c r="G831" s="2">
        <v>45831</v>
      </c>
      <c r="H831" t="s">
        <v>2265</v>
      </c>
      <c r="I831">
        <f t="shared" si="100"/>
        <v>4</v>
      </c>
      <c r="J831" t="s">
        <v>2795</v>
      </c>
      <c r="K831" t="s">
        <v>132</v>
      </c>
      <c r="L831" t="s">
        <v>24</v>
      </c>
      <c r="M831" t="s">
        <v>54</v>
      </c>
      <c r="N831" t="s">
        <v>175</v>
      </c>
      <c r="O831" t="s">
        <v>176</v>
      </c>
      <c r="P831" t="s">
        <v>74</v>
      </c>
      <c r="Q831" t="s">
        <v>80</v>
      </c>
      <c r="R831" t="s">
        <v>2266</v>
      </c>
      <c r="S831" t="s">
        <v>50</v>
      </c>
      <c r="T831">
        <v>5</v>
      </c>
      <c r="U831">
        <v>2729.95</v>
      </c>
      <c r="V831">
        <v>0</v>
      </c>
      <c r="W831">
        <v>0</v>
      </c>
      <c r="X831">
        <v>13649.75</v>
      </c>
      <c r="Y831">
        <f t="shared" si="96"/>
        <v>13649.75</v>
      </c>
      <c r="Z831">
        <v>10288.030000000001</v>
      </c>
      <c r="AA831">
        <v>3361.72</v>
      </c>
      <c r="AB831">
        <f t="shared" si="101"/>
        <v>3361.7199999999993</v>
      </c>
      <c r="AC831" s="8">
        <f t="shared" si="102"/>
        <v>0.24628436418249414</v>
      </c>
      <c r="AD831" t="s">
        <v>32</v>
      </c>
      <c r="AE831" t="s">
        <v>33</v>
      </c>
      <c r="AF831" t="str">
        <f t="shared" si="103"/>
        <v>Perfect Match</v>
      </c>
    </row>
    <row r="832" spans="1:32">
      <c r="A832" t="str">
        <f>IF(OR(I832&lt;0, ISTEXT(W832), ISTEXT(Y832)), "Invalid", IF(OR(B832="Conflicting Duplicate", M832="Unknown", S832="Unknown"), "Warning", "Valid"))</f>
        <v>Valid</v>
      </c>
      <c r="B832" t="str">
        <f t="shared" si="97"/>
        <v>-</v>
      </c>
      <c r="C832" t="s">
        <v>2270</v>
      </c>
      <c r="D832" s="2">
        <v>45936</v>
      </c>
      <c r="E832" t="str">
        <f t="shared" si="98"/>
        <v>October</v>
      </c>
      <c r="F832">
        <f t="shared" si="99"/>
        <v>2025</v>
      </c>
      <c r="G832" s="2">
        <v>45943</v>
      </c>
      <c r="H832" t="s">
        <v>2271</v>
      </c>
      <c r="I832">
        <f t="shared" si="100"/>
        <v>7</v>
      </c>
      <c r="J832" t="s">
        <v>2795</v>
      </c>
      <c r="K832" t="s">
        <v>264</v>
      </c>
      <c r="L832" t="s">
        <v>95</v>
      </c>
      <c r="M832" t="s">
        <v>38</v>
      </c>
      <c r="N832" t="s">
        <v>228</v>
      </c>
      <c r="O832" t="s">
        <v>229</v>
      </c>
      <c r="P832" t="s">
        <v>74</v>
      </c>
      <c r="Q832" t="s">
        <v>75</v>
      </c>
      <c r="R832" t="s">
        <v>2272</v>
      </c>
      <c r="S832" t="s">
        <v>59</v>
      </c>
      <c r="T832">
        <v>6</v>
      </c>
      <c r="U832">
        <v>2391.9299999999998</v>
      </c>
      <c r="V832">
        <v>0.05</v>
      </c>
      <c r="W832">
        <v>0.05</v>
      </c>
      <c r="X832">
        <v>13634</v>
      </c>
      <c r="Y832">
        <f t="shared" si="96"/>
        <v>13634</v>
      </c>
      <c r="Z832">
        <v>9589.81</v>
      </c>
      <c r="AA832">
        <v>4044.19</v>
      </c>
      <c r="AB832">
        <f t="shared" si="101"/>
        <v>4044.1900000000005</v>
      </c>
      <c r="AC832" s="8">
        <f t="shared" si="102"/>
        <v>0.29662534839372162</v>
      </c>
      <c r="AD832" t="s">
        <v>155</v>
      </c>
      <c r="AE832" t="s">
        <v>103</v>
      </c>
      <c r="AF832" t="str">
        <f t="shared" si="103"/>
        <v>Perfect Match</v>
      </c>
    </row>
    <row r="833" spans="1:32">
      <c r="A833" t="str">
        <f>IF(OR(I833&lt;0, ISTEXT(W833), ISTEXT(Y833)), "Invalid", IF(OR(B833="Conflicting Duplicate", M833="Unknown", S833="Unknown"), "Warning", "Valid"))</f>
        <v>Valid</v>
      </c>
      <c r="B833" t="str">
        <f t="shared" si="97"/>
        <v>-</v>
      </c>
      <c r="C833" t="s">
        <v>2276</v>
      </c>
      <c r="D833" s="2">
        <v>45935</v>
      </c>
      <c r="E833" t="str">
        <f t="shared" si="98"/>
        <v>October</v>
      </c>
      <c r="F833">
        <f t="shared" si="99"/>
        <v>2025</v>
      </c>
      <c r="G833" s="2">
        <v>45942</v>
      </c>
      <c r="H833" t="s">
        <v>2277</v>
      </c>
      <c r="I833">
        <f t="shared" si="100"/>
        <v>7</v>
      </c>
      <c r="J833" t="s">
        <v>2795</v>
      </c>
      <c r="K833" t="s">
        <v>114</v>
      </c>
      <c r="L833" t="s">
        <v>90</v>
      </c>
      <c r="M833" t="s">
        <v>54</v>
      </c>
      <c r="N833" t="s">
        <v>175</v>
      </c>
      <c r="O833" t="s">
        <v>176</v>
      </c>
      <c r="P833" t="s">
        <v>41</v>
      </c>
      <c r="Q833" t="s">
        <v>42</v>
      </c>
      <c r="R833" t="s">
        <v>2278</v>
      </c>
      <c r="S833" t="s">
        <v>31</v>
      </c>
      <c r="T833">
        <v>7</v>
      </c>
      <c r="U833">
        <v>2134.73</v>
      </c>
      <c r="V833">
        <v>0</v>
      </c>
      <c r="W833">
        <v>0</v>
      </c>
      <c r="X833">
        <v>14943.11</v>
      </c>
      <c r="Y833">
        <f t="shared" si="96"/>
        <v>14943.11</v>
      </c>
      <c r="Z833">
        <v>8521.5</v>
      </c>
      <c r="AA833">
        <v>6421.61</v>
      </c>
      <c r="AB833">
        <f t="shared" si="101"/>
        <v>6421.6100000000006</v>
      </c>
      <c r="AC833" s="8">
        <f t="shared" si="102"/>
        <v>0.42973718322357263</v>
      </c>
      <c r="AD833" t="s">
        <v>32</v>
      </c>
      <c r="AE833" t="s">
        <v>33</v>
      </c>
      <c r="AF833" t="str">
        <f t="shared" si="103"/>
        <v>Perfect Match</v>
      </c>
    </row>
    <row r="834" spans="1:32">
      <c r="A834" t="str">
        <f>IF(OR(I834&lt;0, ISTEXT(W834), ISTEXT(Y834)), "Invalid", IF(OR(B834="Conflicting Duplicate", M834="Unknown", S834="Unknown"), "Warning", "Valid"))</f>
        <v>Valid</v>
      </c>
      <c r="B834" t="str">
        <f t="shared" si="97"/>
        <v>-</v>
      </c>
      <c r="C834" t="s">
        <v>2288</v>
      </c>
      <c r="D834" s="2">
        <v>45794</v>
      </c>
      <c r="E834" t="str">
        <f t="shared" si="98"/>
        <v>May</v>
      </c>
      <c r="F834">
        <f t="shared" si="99"/>
        <v>2025</v>
      </c>
      <c r="G834" s="2">
        <v>45802</v>
      </c>
      <c r="H834" t="s">
        <v>2289</v>
      </c>
      <c r="I834">
        <f t="shared" si="100"/>
        <v>8</v>
      </c>
      <c r="J834" t="s">
        <v>2795</v>
      </c>
      <c r="K834" t="s">
        <v>62</v>
      </c>
      <c r="L834" t="s">
        <v>90</v>
      </c>
      <c r="M834" t="s">
        <v>54</v>
      </c>
      <c r="N834" t="s">
        <v>247</v>
      </c>
      <c r="O834" t="s">
        <v>248</v>
      </c>
      <c r="P834" t="s">
        <v>74</v>
      </c>
      <c r="Q834" t="s">
        <v>274</v>
      </c>
      <c r="R834" t="s">
        <v>2290</v>
      </c>
      <c r="S834" t="s">
        <v>44</v>
      </c>
      <c r="T834">
        <v>6</v>
      </c>
      <c r="U834">
        <v>1810.63</v>
      </c>
      <c r="V834">
        <v>0.15</v>
      </c>
      <c r="W834">
        <v>0.15</v>
      </c>
      <c r="X834">
        <v>9234.2099999999991</v>
      </c>
      <c r="Y834">
        <f t="shared" ref="Y834:Y897" si="104">IF(ISTEXT(W834), "Cannot Calculate", ROUND(T834 * U834 * (1 - W834), 2))</f>
        <v>9234.2099999999991</v>
      </c>
      <c r="Z834">
        <v>5516.52</v>
      </c>
      <c r="AA834">
        <v>3717.69</v>
      </c>
      <c r="AB834">
        <f t="shared" si="101"/>
        <v>3717.6899999999987</v>
      </c>
      <c r="AC834" s="8">
        <f t="shared" si="102"/>
        <v>0.40259968096891874</v>
      </c>
      <c r="AD834" t="s">
        <v>32</v>
      </c>
      <c r="AE834" t="s">
        <v>33</v>
      </c>
      <c r="AF834" t="str">
        <f t="shared" si="103"/>
        <v>Perfect Match</v>
      </c>
    </row>
    <row r="835" spans="1:32">
      <c r="A835" t="str">
        <f>IF(OR(I835&lt;0, ISTEXT(W835), ISTEXT(Y835)), "Invalid", IF(OR(B835="Conflicting Duplicate", M835="Unknown", S835="Unknown"), "Warning", "Valid"))</f>
        <v>Valid</v>
      </c>
      <c r="B835" t="str">
        <f t="shared" ref="B835:B898" si="105">IF(COUNTIF(C:C, C835)&gt;1, "Conflicting Duplicate", "-")</f>
        <v>-</v>
      </c>
      <c r="C835" t="s">
        <v>2291</v>
      </c>
      <c r="D835" s="2">
        <v>45827</v>
      </c>
      <c r="E835" t="str">
        <f t="shared" ref="E835:E898" si="106">TEXT(D835, "mmmm")</f>
        <v>June</v>
      </c>
      <c r="F835">
        <f t="shared" ref="F835:F898" si="107">YEAR(D835)</f>
        <v>2025</v>
      </c>
      <c r="G835" s="2">
        <v>45832</v>
      </c>
      <c r="H835" t="s">
        <v>2292</v>
      </c>
      <c r="I835">
        <f t="shared" ref="I835:I898" si="108">G835-D835</f>
        <v>5</v>
      </c>
      <c r="J835" t="s">
        <v>2795</v>
      </c>
      <c r="K835" t="s">
        <v>53</v>
      </c>
      <c r="L835" t="s">
        <v>24</v>
      </c>
      <c r="M835" t="s">
        <v>38</v>
      </c>
      <c r="N835" t="s">
        <v>99</v>
      </c>
      <c r="O835" t="s">
        <v>100</v>
      </c>
      <c r="P835" t="s">
        <v>28</v>
      </c>
      <c r="Q835" t="s">
        <v>48</v>
      </c>
      <c r="R835" t="s">
        <v>2293</v>
      </c>
      <c r="S835" t="s">
        <v>31</v>
      </c>
      <c r="T835">
        <v>4</v>
      </c>
      <c r="U835">
        <v>782.01</v>
      </c>
      <c r="V835">
        <v>0.15</v>
      </c>
      <c r="W835">
        <v>0.15</v>
      </c>
      <c r="X835">
        <v>2658.83</v>
      </c>
      <c r="Y835">
        <f t="shared" si="104"/>
        <v>2658.83</v>
      </c>
      <c r="Z835">
        <v>2226.9699999999998</v>
      </c>
      <c r="AA835">
        <v>431.86</v>
      </c>
      <c r="AB835">
        <f t="shared" ref="AB835:AB898" si="109">IF(ISTEXT(Y835), "Cannot Calculate", Y835 - Z835)</f>
        <v>431.86000000000013</v>
      </c>
      <c r="AC835" s="8">
        <f t="shared" ref="AC835:AC898" si="110">IFERROR(AB835 / Y835, 0)</f>
        <v>0.16242482595728203</v>
      </c>
      <c r="AD835" t="s">
        <v>102</v>
      </c>
      <c r="AE835" t="s">
        <v>103</v>
      </c>
      <c r="AF835" t="str">
        <f t="shared" ref="AF835:AF898" si="111">IF(OR(ISTEXT(Z835), ISTEXT(AB835)), "Calculation Blocked", IF(OR(ROUND(X835, 2) &lt;&gt; ROUND(Y835, 2), ROUND(AA835, 2) &lt;&gt; ROUND(AB835, 2)), "Mismatch Found", "Perfect Match"))</f>
        <v>Perfect Match</v>
      </c>
    </row>
    <row r="836" spans="1:32">
      <c r="A836" t="str">
        <f>IF(OR(I836&lt;0, ISTEXT(W836), ISTEXT(Y836)), "Invalid", IF(OR(B836="Conflicting Duplicate", M836="Unknown", S836="Unknown"), "Warning", "Valid"))</f>
        <v>Valid</v>
      </c>
      <c r="B836" t="str">
        <f t="shared" si="105"/>
        <v>-</v>
      </c>
      <c r="C836" t="s">
        <v>2315</v>
      </c>
      <c r="D836" s="2">
        <v>45708</v>
      </c>
      <c r="E836" t="str">
        <f t="shared" si="106"/>
        <v>February</v>
      </c>
      <c r="F836">
        <f t="shared" si="107"/>
        <v>2025</v>
      </c>
      <c r="G836" s="2">
        <v>45710</v>
      </c>
      <c r="H836" t="s">
        <v>2316</v>
      </c>
      <c r="I836">
        <f t="shared" si="108"/>
        <v>2</v>
      </c>
      <c r="J836" t="s">
        <v>2795</v>
      </c>
      <c r="K836" t="s">
        <v>114</v>
      </c>
      <c r="L836" t="s">
        <v>90</v>
      </c>
      <c r="M836" t="s">
        <v>54</v>
      </c>
      <c r="N836" t="s">
        <v>185</v>
      </c>
      <c r="O836" t="s">
        <v>186</v>
      </c>
      <c r="P836" t="s">
        <v>28</v>
      </c>
      <c r="Q836" t="s">
        <v>29</v>
      </c>
      <c r="R836" t="s">
        <v>2317</v>
      </c>
      <c r="S836" t="s">
        <v>50</v>
      </c>
      <c r="T836">
        <v>1</v>
      </c>
      <c r="U836">
        <v>2188.19</v>
      </c>
      <c r="V836">
        <v>0</v>
      </c>
      <c r="W836">
        <v>0</v>
      </c>
      <c r="X836">
        <v>2188.19</v>
      </c>
      <c r="Y836">
        <f t="shared" si="104"/>
        <v>2188.19</v>
      </c>
      <c r="Z836">
        <v>1298.8399999999999</v>
      </c>
      <c r="AA836">
        <v>889.35</v>
      </c>
      <c r="AB836">
        <f t="shared" si="109"/>
        <v>889.35000000000014</v>
      </c>
      <c r="AC836" s="8">
        <f t="shared" si="110"/>
        <v>0.40643179979800664</v>
      </c>
      <c r="AD836" t="s">
        <v>32</v>
      </c>
      <c r="AE836" t="s">
        <v>33</v>
      </c>
      <c r="AF836" t="str">
        <f t="shared" si="111"/>
        <v>Perfect Match</v>
      </c>
    </row>
    <row r="837" spans="1:32">
      <c r="A837" s="6" t="str">
        <f>IF(OR(I837&lt;0, ISTEXT(W837), ISTEXT(Y837)), "Invalid", IF(OR(B837="Conflicting Duplicate", M837="Unknown", S837="Unknown"), "Warning", "Valid"))</f>
        <v>Invalid</v>
      </c>
      <c r="B837" t="str">
        <f t="shared" si="105"/>
        <v>-</v>
      </c>
      <c r="C837" t="s">
        <v>2323</v>
      </c>
      <c r="D837" s="2">
        <v>45770</v>
      </c>
      <c r="E837" t="str">
        <f t="shared" si="106"/>
        <v>April</v>
      </c>
      <c r="F837">
        <f t="shared" si="107"/>
        <v>2025</v>
      </c>
      <c r="G837" s="2">
        <v>45772</v>
      </c>
      <c r="H837" t="s">
        <v>2324</v>
      </c>
      <c r="I837">
        <f t="shared" si="108"/>
        <v>2</v>
      </c>
      <c r="J837" t="s">
        <v>2795</v>
      </c>
      <c r="K837" t="s">
        <v>47</v>
      </c>
      <c r="L837" t="s">
        <v>95</v>
      </c>
      <c r="M837" t="s">
        <v>54</v>
      </c>
      <c r="N837" t="s">
        <v>247</v>
      </c>
      <c r="O837" t="s">
        <v>248</v>
      </c>
      <c r="P837" t="s">
        <v>41</v>
      </c>
      <c r="Q837" t="s">
        <v>66</v>
      </c>
      <c r="R837" t="s">
        <v>2325</v>
      </c>
      <c r="S837" t="s">
        <v>31</v>
      </c>
      <c r="T837">
        <v>3</v>
      </c>
      <c r="U837">
        <v>2951.12</v>
      </c>
      <c r="V837" s="4" t="str">
        <f>IF(ROUND(T819*U819, 2)=ROUND(X819, 2), 0, "Flag - Missing Value")</f>
        <v>Flag - Missing Value</v>
      </c>
      <c r="W837" s="4" t="s">
        <v>2794</v>
      </c>
      <c r="X837">
        <v>7082.69</v>
      </c>
      <c r="Y837" s="4" t="str">
        <f t="shared" si="104"/>
        <v>Cannot Calculate</v>
      </c>
      <c r="Z837">
        <v>5596.34</v>
      </c>
      <c r="AA837">
        <v>1486.35</v>
      </c>
      <c r="AB837" s="4" t="str">
        <f t="shared" si="109"/>
        <v>Cannot Calculate</v>
      </c>
      <c r="AC837" s="9">
        <f t="shared" si="110"/>
        <v>0</v>
      </c>
      <c r="AD837" t="s">
        <v>32</v>
      </c>
      <c r="AE837" t="s">
        <v>68</v>
      </c>
      <c r="AF837" t="str">
        <f t="shared" si="111"/>
        <v>Calculation Blocked</v>
      </c>
    </row>
    <row r="838" spans="1:32">
      <c r="A838" t="str">
        <f>IF(OR(I838&lt;0, ISTEXT(W838), ISTEXT(Y838)), "Invalid", IF(OR(B838="Conflicting Duplicate", M838="Unknown", S838="Unknown"), "Warning", "Valid"))</f>
        <v>Valid</v>
      </c>
      <c r="B838" t="str">
        <f t="shared" si="105"/>
        <v>-</v>
      </c>
      <c r="C838" t="s">
        <v>2330</v>
      </c>
      <c r="D838" s="2">
        <v>45700</v>
      </c>
      <c r="E838" t="str">
        <f t="shared" si="106"/>
        <v>February</v>
      </c>
      <c r="F838">
        <f t="shared" si="107"/>
        <v>2025</v>
      </c>
      <c r="G838" s="2">
        <v>45702</v>
      </c>
      <c r="H838" t="s">
        <v>2331</v>
      </c>
      <c r="I838">
        <f t="shared" si="108"/>
        <v>2</v>
      </c>
      <c r="J838" t="s">
        <v>2795</v>
      </c>
      <c r="K838" t="s">
        <v>132</v>
      </c>
      <c r="L838" t="s">
        <v>24</v>
      </c>
      <c r="M838" t="s">
        <v>25</v>
      </c>
      <c r="N838" t="s">
        <v>136</v>
      </c>
      <c r="O838" t="s">
        <v>137</v>
      </c>
      <c r="P838" t="s">
        <v>28</v>
      </c>
      <c r="Q838" t="s">
        <v>48</v>
      </c>
      <c r="R838" t="s">
        <v>2332</v>
      </c>
      <c r="S838" t="s">
        <v>59</v>
      </c>
      <c r="T838">
        <v>6</v>
      </c>
      <c r="U838">
        <v>491.4</v>
      </c>
      <c r="V838">
        <v>0.25</v>
      </c>
      <c r="W838">
        <v>0.25</v>
      </c>
      <c r="X838">
        <v>2211.3000000000002</v>
      </c>
      <c r="Y838">
        <f t="shared" si="104"/>
        <v>2211.3000000000002</v>
      </c>
      <c r="Z838">
        <v>1735.64</v>
      </c>
      <c r="AA838">
        <v>475.66</v>
      </c>
      <c r="AB838">
        <f t="shared" si="109"/>
        <v>475.66000000000008</v>
      </c>
      <c r="AC838" s="8">
        <f t="shared" si="110"/>
        <v>0.21510423732645956</v>
      </c>
      <c r="AD838" t="s">
        <v>32</v>
      </c>
      <c r="AE838" t="s">
        <v>33</v>
      </c>
      <c r="AF838" t="str">
        <f t="shared" si="111"/>
        <v>Perfect Match</v>
      </c>
    </row>
    <row r="839" spans="1:32">
      <c r="A839" t="str">
        <f>IF(OR(I839&lt;0, ISTEXT(W839), ISTEXT(Y839)), "Invalid", IF(OR(B839="Conflicting Duplicate", M839="Unknown", S839="Unknown"), "Warning", "Valid"))</f>
        <v>Valid</v>
      </c>
      <c r="B839" t="str">
        <f t="shared" si="105"/>
        <v>-</v>
      </c>
      <c r="C839" t="s">
        <v>2333</v>
      </c>
      <c r="D839" s="2">
        <v>45886</v>
      </c>
      <c r="E839" t="str">
        <f t="shared" si="106"/>
        <v>August</v>
      </c>
      <c r="F839">
        <f t="shared" si="107"/>
        <v>2025</v>
      </c>
      <c r="G839" s="2">
        <v>45889</v>
      </c>
      <c r="H839" t="s">
        <v>2334</v>
      </c>
      <c r="I839">
        <f t="shared" si="108"/>
        <v>3</v>
      </c>
      <c r="J839" t="s">
        <v>2795</v>
      </c>
      <c r="K839" t="s">
        <v>36</v>
      </c>
      <c r="L839" t="s">
        <v>95</v>
      </c>
      <c r="M839" t="s">
        <v>25</v>
      </c>
      <c r="N839" t="s">
        <v>122</v>
      </c>
      <c r="O839" t="s">
        <v>123</v>
      </c>
      <c r="P839" t="s">
        <v>28</v>
      </c>
      <c r="Q839" t="s">
        <v>153</v>
      </c>
      <c r="R839" t="s">
        <v>2335</v>
      </c>
      <c r="S839" t="s">
        <v>50</v>
      </c>
      <c r="T839">
        <v>5</v>
      </c>
      <c r="U839">
        <v>2701.89</v>
      </c>
      <c r="V839">
        <v>0.1</v>
      </c>
      <c r="W839">
        <v>0.1</v>
      </c>
      <c r="X839">
        <v>12158.5</v>
      </c>
      <c r="Y839">
        <f t="shared" si="104"/>
        <v>12158.51</v>
      </c>
      <c r="Z839">
        <v>10260.07</v>
      </c>
      <c r="AA839">
        <v>1898.43</v>
      </c>
      <c r="AB839">
        <f t="shared" si="109"/>
        <v>1898.4400000000005</v>
      </c>
      <c r="AC839" s="8">
        <f t="shared" si="110"/>
        <v>0.15614084291578495</v>
      </c>
      <c r="AD839" t="s">
        <v>32</v>
      </c>
      <c r="AE839" t="s">
        <v>68</v>
      </c>
      <c r="AF839" t="str">
        <f t="shared" si="111"/>
        <v>Mismatch Found</v>
      </c>
    </row>
    <row r="840" spans="1:32">
      <c r="A840" t="str">
        <f>IF(OR(I840&lt;0, ISTEXT(W840), ISTEXT(Y840)), "Invalid", IF(OR(B840="Conflicting Duplicate", M840="Unknown", S840="Unknown"), "Warning", "Valid"))</f>
        <v>Valid</v>
      </c>
      <c r="B840" t="str">
        <f t="shared" si="105"/>
        <v>-</v>
      </c>
      <c r="C840" t="s">
        <v>2339</v>
      </c>
      <c r="D840" s="2">
        <v>45661</v>
      </c>
      <c r="E840" t="str">
        <f t="shared" si="106"/>
        <v>January</v>
      </c>
      <c r="F840">
        <f t="shared" si="107"/>
        <v>2025</v>
      </c>
      <c r="G840" s="2">
        <v>45931</v>
      </c>
      <c r="H840" t="s">
        <v>2046</v>
      </c>
      <c r="I840">
        <f t="shared" si="108"/>
        <v>270</v>
      </c>
      <c r="J840" t="s">
        <v>2795</v>
      </c>
      <c r="K840" t="s">
        <v>128</v>
      </c>
      <c r="L840" t="s">
        <v>95</v>
      </c>
      <c r="M840" t="s">
        <v>38</v>
      </c>
      <c r="N840" t="s">
        <v>99</v>
      </c>
      <c r="O840" t="s">
        <v>100</v>
      </c>
      <c r="P840" t="s">
        <v>28</v>
      </c>
      <c r="Q840" t="s">
        <v>29</v>
      </c>
      <c r="R840" t="s">
        <v>2340</v>
      </c>
      <c r="S840" t="s">
        <v>59</v>
      </c>
      <c r="T840">
        <v>4</v>
      </c>
      <c r="U840">
        <v>2583.19</v>
      </c>
      <c r="V840">
        <v>0.2</v>
      </c>
      <c r="W840">
        <v>0.2</v>
      </c>
      <c r="X840">
        <v>8266.2099999999991</v>
      </c>
      <c r="Y840">
        <f t="shared" si="104"/>
        <v>8266.2099999999991</v>
      </c>
      <c r="Z840">
        <v>6236.32</v>
      </c>
      <c r="AA840">
        <v>2029.89</v>
      </c>
      <c r="AB840">
        <f t="shared" si="109"/>
        <v>2029.8899999999994</v>
      </c>
      <c r="AC840" s="8">
        <f t="shared" si="110"/>
        <v>0.24556477515088532</v>
      </c>
      <c r="AD840" t="s">
        <v>32</v>
      </c>
      <c r="AE840" t="s">
        <v>33</v>
      </c>
      <c r="AF840" t="str">
        <f t="shared" si="111"/>
        <v>Perfect Match</v>
      </c>
    </row>
    <row r="841" spans="1:32">
      <c r="A841" t="str">
        <f>IF(OR(I841&lt;0, ISTEXT(W841), ISTEXT(Y841)), "Invalid", IF(OR(B841="Conflicting Duplicate", M841="Unknown", S841="Unknown"), "Warning", "Valid"))</f>
        <v>Valid</v>
      </c>
      <c r="B841" t="str">
        <f t="shared" si="105"/>
        <v>-</v>
      </c>
      <c r="C841" t="s">
        <v>2350</v>
      </c>
      <c r="D841" s="2">
        <v>45810</v>
      </c>
      <c r="E841" t="str">
        <f t="shared" si="106"/>
        <v>June</v>
      </c>
      <c r="F841">
        <f t="shared" si="107"/>
        <v>2025</v>
      </c>
      <c r="G841" s="2">
        <v>45810</v>
      </c>
      <c r="H841" t="s">
        <v>2351</v>
      </c>
      <c r="I841">
        <f t="shared" si="108"/>
        <v>0</v>
      </c>
      <c r="J841" t="s">
        <v>2795</v>
      </c>
      <c r="K841" t="s">
        <v>128</v>
      </c>
      <c r="L841" t="s">
        <v>95</v>
      </c>
      <c r="M841" t="s">
        <v>54</v>
      </c>
      <c r="N841" t="s">
        <v>55</v>
      </c>
      <c r="O841" t="s">
        <v>56</v>
      </c>
      <c r="P841" t="s">
        <v>74</v>
      </c>
      <c r="Q841" t="s">
        <v>75</v>
      </c>
      <c r="R841" t="s">
        <v>2352</v>
      </c>
      <c r="S841" t="s">
        <v>50</v>
      </c>
      <c r="T841">
        <v>8</v>
      </c>
      <c r="U841">
        <v>3925.93</v>
      </c>
      <c r="V841">
        <v>0.15</v>
      </c>
      <c r="W841">
        <v>0.15</v>
      </c>
      <c r="X841">
        <v>26696.32</v>
      </c>
      <c r="Y841">
        <f t="shared" si="104"/>
        <v>26696.32</v>
      </c>
      <c r="Z841">
        <v>22724.52</v>
      </c>
      <c r="AA841">
        <v>3971.8</v>
      </c>
      <c r="AB841">
        <f t="shared" si="109"/>
        <v>3971.7999999999993</v>
      </c>
      <c r="AC841" s="8">
        <f t="shared" si="110"/>
        <v>0.14877705990938075</v>
      </c>
      <c r="AD841" t="s">
        <v>32</v>
      </c>
      <c r="AE841" t="s">
        <v>33</v>
      </c>
      <c r="AF841" t="str">
        <f t="shared" si="111"/>
        <v>Perfect Match</v>
      </c>
    </row>
    <row r="842" spans="1:32">
      <c r="A842" s="6" t="str">
        <f>IF(OR(I842&lt;0, ISTEXT(W842), ISTEXT(Y842)), "Invalid", IF(OR(B842="Conflicting Duplicate", M842="Unknown", S842="Unknown"), "Warning", "Valid"))</f>
        <v>Warning</v>
      </c>
      <c r="B842" t="str">
        <f t="shared" si="105"/>
        <v>-</v>
      </c>
      <c r="C842" t="s">
        <v>2353</v>
      </c>
      <c r="D842" s="2">
        <v>45856</v>
      </c>
      <c r="E842" t="str">
        <f t="shared" si="106"/>
        <v>July</v>
      </c>
      <c r="F842">
        <f t="shared" si="107"/>
        <v>2025</v>
      </c>
      <c r="G842" s="2">
        <v>45857</v>
      </c>
      <c r="H842" t="s">
        <v>2354</v>
      </c>
      <c r="I842">
        <f t="shared" si="108"/>
        <v>1</v>
      </c>
      <c r="J842" t="s">
        <v>2795</v>
      </c>
      <c r="K842" t="s">
        <v>114</v>
      </c>
      <c r="L842" t="s">
        <v>95</v>
      </c>
      <c r="M842" s="4" t="s">
        <v>2790</v>
      </c>
      <c r="N842" t="s">
        <v>136</v>
      </c>
      <c r="O842" t="s">
        <v>137</v>
      </c>
      <c r="P842" t="s">
        <v>74</v>
      </c>
      <c r="Q842" t="s">
        <v>274</v>
      </c>
      <c r="R842" t="s">
        <v>2355</v>
      </c>
      <c r="S842" s="4" t="s">
        <v>2790</v>
      </c>
      <c r="T842">
        <v>3</v>
      </c>
      <c r="U842">
        <v>2963.25</v>
      </c>
      <c r="V842">
        <v>0.05</v>
      </c>
      <c r="W842">
        <v>0.05</v>
      </c>
      <c r="X842">
        <v>8445.26</v>
      </c>
      <c r="Y842">
        <f t="shared" si="104"/>
        <v>8445.26</v>
      </c>
      <c r="Z842">
        <v>6937.6</v>
      </c>
      <c r="AA842">
        <v>1507.66</v>
      </c>
      <c r="AB842">
        <f t="shared" si="109"/>
        <v>1507.6599999999999</v>
      </c>
      <c r="AC842" s="8">
        <f t="shared" si="110"/>
        <v>0.17852144279749821</v>
      </c>
      <c r="AD842" t="s">
        <v>32</v>
      </c>
      <c r="AE842" t="s">
        <v>33</v>
      </c>
      <c r="AF842" t="str">
        <f t="shared" si="111"/>
        <v>Perfect Match</v>
      </c>
    </row>
    <row r="843" spans="1:32">
      <c r="A843" t="str">
        <f>IF(OR(I843&lt;0, ISTEXT(W843), ISTEXT(Y843)), "Invalid", IF(OR(B843="Conflicting Duplicate", M843="Unknown", S843="Unknown"), "Warning", "Valid"))</f>
        <v>Valid</v>
      </c>
      <c r="B843" t="str">
        <f t="shared" si="105"/>
        <v>-</v>
      </c>
      <c r="C843" t="s">
        <v>2362</v>
      </c>
      <c r="D843" s="2">
        <v>45812</v>
      </c>
      <c r="E843" t="str">
        <f t="shared" si="106"/>
        <v>June</v>
      </c>
      <c r="F843">
        <f t="shared" si="107"/>
        <v>2025</v>
      </c>
      <c r="G843" s="2">
        <v>45812</v>
      </c>
      <c r="H843" t="s">
        <v>2363</v>
      </c>
      <c r="I843">
        <f t="shared" si="108"/>
        <v>0</v>
      </c>
      <c r="J843" t="s">
        <v>2795</v>
      </c>
      <c r="K843" t="s">
        <v>79</v>
      </c>
      <c r="L843" t="s">
        <v>90</v>
      </c>
      <c r="M843" t="s">
        <v>54</v>
      </c>
      <c r="N843" t="s">
        <v>185</v>
      </c>
      <c r="O843" t="s">
        <v>186</v>
      </c>
      <c r="P843" t="s">
        <v>28</v>
      </c>
      <c r="Q843" t="s">
        <v>124</v>
      </c>
      <c r="R843" t="s">
        <v>2364</v>
      </c>
      <c r="S843" t="s">
        <v>59</v>
      </c>
      <c r="T843">
        <v>4</v>
      </c>
      <c r="U843">
        <v>891.34</v>
      </c>
      <c r="V843">
        <v>0.25</v>
      </c>
      <c r="W843">
        <v>0.25</v>
      </c>
      <c r="X843">
        <v>2674.02</v>
      </c>
      <c r="Y843">
        <f t="shared" si="104"/>
        <v>2674.02</v>
      </c>
      <c r="Z843">
        <v>2207.5700000000002</v>
      </c>
      <c r="AA843">
        <v>466.45</v>
      </c>
      <c r="AB843">
        <f t="shared" si="109"/>
        <v>466.44999999999982</v>
      </c>
      <c r="AC843" s="8">
        <f t="shared" si="110"/>
        <v>0.17443773793763689</v>
      </c>
      <c r="AD843" t="s">
        <v>32</v>
      </c>
      <c r="AE843" t="s">
        <v>33</v>
      </c>
      <c r="AF843" t="str">
        <f t="shared" si="111"/>
        <v>Perfect Match</v>
      </c>
    </row>
    <row r="844" spans="1:32">
      <c r="A844" t="str">
        <f>IF(OR(I844&lt;0, ISTEXT(W844), ISTEXT(Y844)), "Invalid", IF(OR(B844="Conflicting Duplicate", M844="Unknown", S844="Unknown"), "Warning", "Valid"))</f>
        <v>Valid</v>
      </c>
      <c r="B844" t="str">
        <f t="shared" si="105"/>
        <v>-</v>
      </c>
      <c r="C844" t="s">
        <v>2365</v>
      </c>
      <c r="D844" s="2">
        <v>45858</v>
      </c>
      <c r="E844" t="str">
        <f t="shared" si="106"/>
        <v>July</v>
      </c>
      <c r="F844">
        <f t="shared" si="107"/>
        <v>2025</v>
      </c>
      <c r="G844" s="2">
        <v>45862</v>
      </c>
      <c r="H844" t="s">
        <v>2366</v>
      </c>
      <c r="I844">
        <f t="shared" si="108"/>
        <v>4</v>
      </c>
      <c r="J844" t="s">
        <v>2795</v>
      </c>
      <c r="K844" t="s">
        <v>114</v>
      </c>
      <c r="L844" t="s">
        <v>95</v>
      </c>
      <c r="M844" t="s">
        <v>63</v>
      </c>
      <c r="N844" t="s">
        <v>72</v>
      </c>
      <c r="O844" t="s">
        <v>73</v>
      </c>
      <c r="P844" t="s">
        <v>28</v>
      </c>
      <c r="Q844" t="s">
        <v>124</v>
      </c>
      <c r="R844" t="s">
        <v>2367</v>
      </c>
      <c r="S844" t="s">
        <v>31</v>
      </c>
      <c r="T844">
        <v>5</v>
      </c>
      <c r="U844">
        <v>2481.7399999999998</v>
      </c>
      <c r="V844">
        <v>0.2</v>
      </c>
      <c r="W844">
        <v>0.2</v>
      </c>
      <c r="X844">
        <v>9926.9599999999991</v>
      </c>
      <c r="Y844">
        <f t="shared" si="104"/>
        <v>9926.9599999999991</v>
      </c>
      <c r="Z844">
        <v>7994.98</v>
      </c>
      <c r="AA844">
        <v>1931.98</v>
      </c>
      <c r="AB844">
        <f t="shared" si="109"/>
        <v>1931.9799999999996</v>
      </c>
      <c r="AC844" s="8">
        <f t="shared" si="110"/>
        <v>0.19461950083409219</v>
      </c>
      <c r="AD844" t="s">
        <v>32</v>
      </c>
      <c r="AE844" t="s">
        <v>33</v>
      </c>
      <c r="AF844" t="str">
        <f t="shared" si="111"/>
        <v>Perfect Match</v>
      </c>
    </row>
    <row r="845" spans="1:32">
      <c r="A845" t="str">
        <f>IF(OR(I845&lt;0, ISTEXT(W845), ISTEXT(Y845)), "Invalid", IF(OR(B845="Conflicting Duplicate", M845="Unknown", S845="Unknown"), "Warning", "Valid"))</f>
        <v>Valid</v>
      </c>
      <c r="B845" t="str">
        <f t="shared" si="105"/>
        <v>-</v>
      </c>
      <c r="C845" t="s">
        <v>2371</v>
      </c>
      <c r="D845" s="2">
        <v>45870</v>
      </c>
      <c r="E845" t="str">
        <f t="shared" si="106"/>
        <v>August</v>
      </c>
      <c r="F845">
        <f t="shared" si="107"/>
        <v>2025</v>
      </c>
      <c r="G845" s="2">
        <v>45872</v>
      </c>
      <c r="H845" t="s">
        <v>2372</v>
      </c>
      <c r="I845">
        <f t="shared" si="108"/>
        <v>2</v>
      </c>
      <c r="J845" t="s">
        <v>2795</v>
      </c>
      <c r="K845" t="s">
        <v>89</v>
      </c>
      <c r="L845" t="s">
        <v>37</v>
      </c>
      <c r="M845" t="s">
        <v>54</v>
      </c>
      <c r="N845" t="s">
        <v>185</v>
      </c>
      <c r="O845" t="s">
        <v>186</v>
      </c>
      <c r="P845" t="s">
        <v>41</v>
      </c>
      <c r="Q845" t="s">
        <v>158</v>
      </c>
      <c r="R845" t="s">
        <v>2373</v>
      </c>
      <c r="S845" t="s">
        <v>59</v>
      </c>
      <c r="T845">
        <v>3</v>
      </c>
      <c r="U845">
        <v>1904.78</v>
      </c>
      <c r="V845">
        <v>0.25</v>
      </c>
      <c r="W845">
        <v>0.25</v>
      </c>
      <c r="X845">
        <v>4285.76</v>
      </c>
      <c r="Y845">
        <f t="shared" si="104"/>
        <v>4285.76</v>
      </c>
      <c r="Z845">
        <v>2386.33</v>
      </c>
      <c r="AA845">
        <v>1899.43</v>
      </c>
      <c r="AB845">
        <f t="shared" si="109"/>
        <v>1899.4300000000003</v>
      </c>
      <c r="AC845" s="8">
        <f t="shared" si="110"/>
        <v>0.44319560591353696</v>
      </c>
      <c r="AD845" t="s">
        <v>155</v>
      </c>
      <c r="AE845" t="s">
        <v>68</v>
      </c>
      <c r="AF845" t="str">
        <f t="shared" si="111"/>
        <v>Perfect Match</v>
      </c>
    </row>
    <row r="846" spans="1:32">
      <c r="A846" t="str">
        <f>IF(OR(I846&lt;0, ISTEXT(W846), ISTEXT(Y846)), "Invalid", IF(OR(B846="Conflicting Duplicate", M846="Unknown", S846="Unknown"), "Warning", "Valid"))</f>
        <v>Valid</v>
      </c>
      <c r="B846" t="str">
        <f t="shared" si="105"/>
        <v>-</v>
      </c>
      <c r="C846" t="s">
        <v>2383</v>
      </c>
      <c r="D846" s="2">
        <v>45896</v>
      </c>
      <c r="E846" t="str">
        <f t="shared" si="106"/>
        <v>August</v>
      </c>
      <c r="F846">
        <f t="shared" si="107"/>
        <v>2025</v>
      </c>
      <c r="G846" s="2">
        <v>45900</v>
      </c>
      <c r="H846" t="s">
        <v>2384</v>
      </c>
      <c r="I846">
        <f t="shared" si="108"/>
        <v>4</v>
      </c>
      <c r="J846" t="s">
        <v>2795</v>
      </c>
      <c r="K846" t="s">
        <v>47</v>
      </c>
      <c r="L846" t="s">
        <v>24</v>
      </c>
      <c r="M846" t="s">
        <v>54</v>
      </c>
      <c r="N846" t="s">
        <v>175</v>
      </c>
      <c r="O846" t="s">
        <v>176</v>
      </c>
      <c r="P846" t="s">
        <v>74</v>
      </c>
      <c r="Q846" t="s">
        <v>274</v>
      </c>
      <c r="R846" t="s">
        <v>2385</v>
      </c>
      <c r="S846" t="s">
        <v>50</v>
      </c>
      <c r="T846">
        <v>3</v>
      </c>
      <c r="U846">
        <v>2489.12</v>
      </c>
      <c r="V846">
        <v>0</v>
      </c>
      <c r="W846">
        <v>0</v>
      </c>
      <c r="X846">
        <v>7467.36</v>
      </c>
      <c r="Y846">
        <f t="shared" si="104"/>
        <v>7467.36</v>
      </c>
      <c r="Z846">
        <v>5010.6099999999997</v>
      </c>
      <c r="AA846">
        <v>2456.75</v>
      </c>
      <c r="AB846">
        <f t="shared" si="109"/>
        <v>2456.75</v>
      </c>
      <c r="AC846" s="8">
        <f t="shared" si="110"/>
        <v>0.32899846799940008</v>
      </c>
      <c r="AD846" t="s">
        <v>32</v>
      </c>
      <c r="AE846" t="s">
        <v>33</v>
      </c>
      <c r="AF846" t="str">
        <f t="shared" si="111"/>
        <v>Perfect Match</v>
      </c>
    </row>
    <row r="847" spans="1:32">
      <c r="A847" t="str">
        <f>IF(OR(I847&lt;0, ISTEXT(W847), ISTEXT(Y847)), "Invalid", IF(OR(B847="Conflicting Duplicate", M847="Unknown", S847="Unknown"), "Warning", "Valid"))</f>
        <v>Valid</v>
      </c>
      <c r="B847" t="str">
        <f t="shared" si="105"/>
        <v>-</v>
      </c>
      <c r="C847" t="s">
        <v>2389</v>
      </c>
      <c r="D847" s="2">
        <v>45892</v>
      </c>
      <c r="E847" t="str">
        <f t="shared" si="106"/>
        <v>August</v>
      </c>
      <c r="F847">
        <f t="shared" si="107"/>
        <v>2025</v>
      </c>
      <c r="G847" s="2">
        <v>45894</v>
      </c>
      <c r="H847" t="s">
        <v>2390</v>
      </c>
      <c r="I847">
        <f t="shared" si="108"/>
        <v>2</v>
      </c>
      <c r="J847" t="s">
        <v>2795</v>
      </c>
      <c r="K847" t="s">
        <v>162</v>
      </c>
      <c r="L847" t="s">
        <v>24</v>
      </c>
      <c r="M847" t="s">
        <v>25</v>
      </c>
      <c r="N847" t="s">
        <v>26</v>
      </c>
      <c r="O847" t="s">
        <v>27</v>
      </c>
      <c r="P847" t="s">
        <v>41</v>
      </c>
      <c r="Q847" t="s">
        <v>57</v>
      </c>
      <c r="R847" t="s">
        <v>2391</v>
      </c>
      <c r="S847" t="s">
        <v>44</v>
      </c>
      <c r="T847">
        <v>6</v>
      </c>
      <c r="U847">
        <v>2742.48</v>
      </c>
      <c r="V847">
        <v>0</v>
      </c>
      <c r="W847">
        <v>0</v>
      </c>
      <c r="X847">
        <v>16454.88</v>
      </c>
      <c r="Y847">
        <f t="shared" si="104"/>
        <v>16454.88</v>
      </c>
      <c r="Z847">
        <v>12081.54</v>
      </c>
      <c r="AA847">
        <v>4373.34</v>
      </c>
      <c r="AB847">
        <f t="shared" si="109"/>
        <v>4373.34</v>
      </c>
      <c r="AC847" s="8">
        <f t="shared" si="110"/>
        <v>0.26577769026574488</v>
      </c>
      <c r="AD847" t="s">
        <v>32</v>
      </c>
      <c r="AE847" t="s">
        <v>33</v>
      </c>
      <c r="AF847" t="str">
        <f t="shared" si="111"/>
        <v>Perfect Match</v>
      </c>
    </row>
    <row r="848" spans="1:32">
      <c r="A848" t="str">
        <f>IF(OR(I848&lt;0, ISTEXT(W848), ISTEXT(Y848)), "Invalid", IF(OR(B848="Conflicting Duplicate", M848="Unknown", S848="Unknown"), "Warning", "Valid"))</f>
        <v>Valid</v>
      </c>
      <c r="B848" t="str">
        <f t="shared" si="105"/>
        <v>-</v>
      </c>
      <c r="C848" t="s">
        <v>2392</v>
      </c>
      <c r="D848" s="2">
        <v>45760</v>
      </c>
      <c r="E848" t="str">
        <f t="shared" si="106"/>
        <v>April</v>
      </c>
      <c r="F848">
        <f t="shared" si="107"/>
        <v>2025</v>
      </c>
      <c r="G848" s="2">
        <v>45760</v>
      </c>
      <c r="H848" t="s">
        <v>895</v>
      </c>
      <c r="I848">
        <f t="shared" si="108"/>
        <v>0</v>
      </c>
      <c r="J848" t="s">
        <v>2795</v>
      </c>
      <c r="K848" t="s">
        <v>114</v>
      </c>
      <c r="L848" t="s">
        <v>90</v>
      </c>
      <c r="M848" t="s">
        <v>54</v>
      </c>
      <c r="N848" t="s">
        <v>185</v>
      </c>
      <c r="O848" t="s">
        <v>186</v>
      </c>
      <c r="P848" t="s">
        <v>41</v>
      </c>
      <c r="Q848" t="s">
        <v>158</v>
      </c>
      <c r="R848" t="s">
        <v>2393</v>
      </c>
      <c r="S848" t="s">
        <v>50</v>
      </c>
      <c r="T848">
        <v>6</v>
      </c>
      <c r="U848">
        <v>4414</v>
      </c>
      <c r="V848">
        <v>0.05</v>
      </c>
      <c r="W848">
        <v>0.05</v>
      </c>
      <c r="X848">
        <v>25159.8</v>
      </c>
      <c r="Y848">
        <f t="shared" si="104"/>
        <v>25159.8</v>
      </c>
      <c r="Z848">
        <v>21606.83</v>
      </c>
      <c r="AA848">
        <v>3552.97</v>
      </c>
      <c r="AB848">
        <f t="shared" si="109"/>
        <v>3552.9699999999975</v>
      </c>
      <c r="AC848" s="8">
        <f t="shared" si="110"/>
        <v>0.14121614639226057</v>
      </c>
      <c r="AD848" t="s">
        <v>32</v>
      </c>
      <c r="AE848" t="s">
        <v>33</v>
      </c>
      <c r="AF848" t="str">
        <f t="shared" si="111"/>
        <v>Perfect Match</v>
      </c>
    </row>
    <row r="849" spans="1:32">
      <c r="A849" t="str">
        <f>IF(OR(I849&lt;0, ISTEXT(W849), ISTEXT(Y849)), "Invalid", IF(OR(B849="Conflicting Duplicate", M849="Unknown", S849="Unknown"), "Warning", "Valid"))</f>
        <v>Valid</v>
      </c>
      <c r="B849" t="str">
        <f t="shared" si="105"/>
        <v>-</v>
      </c>
      <c r="C849" t="s">
        <v>2394</v>
      </c>
      <c r="D849" s="2">
        <v>45837</v>
      </c>
      <c r="E849" t="str">
        <f t="shared" si="106"/>
        <v>June</v>
      </c>
      <c r="F849">
        <f t="shared" si="107"/>
        <v>2025</v>
      </c>
      <c r="G849" s="2">
        <v>45841</v>
      </c>
      <c r="H849" t="s">
        <v>2395</v>
      </c>
      <c r="I849">
        <f t="shared" si="108"/>
        <v>4</v>
      </c>
      <c r="J849" t="s">
        <v>2795</v>
      </c>
      <c r="K849" t="s">
        <v>71</v>
      </c>
      <c r="L849" t="s">
        <v>90</v>
      </c>
      <c r="M849" t="s">
        <v>38</v>
      </c>
      <c r="N849" t="s">
        <v>228</v>
      </c>
      <c r="O849" t="s">
        <v>229</v>
      </c>
      <c r="P849" t="s">
        <v>28</v>
      </c>
      <c r="Q849" t="s">
        <v>91</v>
      </c>
      <c r="R849" t="s">
        <v>2396</v>
      </c>
      <c r="S849" t="s">
        <v>50</v>
      </c>
      <c r="T849">
        <v>3</v>
      </c>
      <c r="U849">
        <v>608.14</v>
      </c>
      <c r="V849">
        <v>0</v>
      </c>
      <c r="W849">
        <v>0</v>
      </c>
      <c r="X849">
        <v>1824.42</v>
      </c>
      <c r="Y849">
        <f t="shared" si="104"/>
        <v>1824.42</v>
      </c>
      <c r="Z849">
        <v>1214.8699999999999</v>
      </c>
      <c r="AA849">
        <v>609.54999999999995</v>
      </c>
      <c r="AB849">
        <f t="shared" si="109"/>
        <v>609.55000000000018</v>
      </c>
      <c r="AC849" s="8">
        <f t="shared" si="110"/>
        <v>0.33410618169061956</v>
      </c>
      <c r="AD849" t="s">
        <v>32</v>
      </c>
      <c r="AE849" t="s">
        <v>33</v>
      </c>
      <c r="AF849" t="str">
        <f t="shared" si="111"/>
        <v>Perfect Match</v>
      </c>
    </row>
    <row r="850" spans="1:32">
      <c r="A850" t="str">
        <f>IF(OR(I850&lt;0, ISTEXT(W850), ISTEXT(Y850)), "Invalid", IF(OR(B850="Conflicting Duplicate", M850="Unknown", S850="Unknown"), "Warning", "Valid"))</f>
        <v>Valid</v>
      </c>
      <c r="B850" t="str">
        <f t="shared" si="105"/>
        <v>-</v>
      </c>
      <c r="C850" t="s">
        <v>2403</v>
      </c>
      <c r="D850" s="2">
        <v>45749</v>
      </c>
      <c r="E850" t="str">
        <f t="shared" si="106"/>
        <v>April</v>
      </c>
      <c r="F850">
        <f t="shared" si="107"/>
        <v>2025</v>
      </c>
      <c r="G850" s="2">
        <v>45751</v>
      </c>
      <c r="H850" t="s">
        <v>2404</v>
      </c>
      <c r="I850">
        <f t="shared" si="108"/>
        <v>2</v>
      </c>
      <c r="J850" t="s">
        <v>2795</v>
      </c>
      <c r="K850" t="s">
        <v>132</v>
      </c>
      <c r="L850" t="s">
        <v>95</v>
      </c>
      <c r="M850" t="s">
        <v>38</v>
      </c>
      <c r="N850" t="s">
        <v>228</v>
      </c>
      <c r="O850" t="s">
        <v>229</v>
      </c>
      <c r="P850" t="s">
        <v>28</v>
      </c>
      <c r="Q850" t="s">
        <v>29</v>
      </c>
      <c r="R850" t="s">
        <v>2405</v>
      </c>
      <c r="S850" t="s">
        <v>44</v>
      </c>
      <c r="T850">
        <v>5</v>
      </c>
      <c r="U850">
        <v>3234.24</v>
      </c>
      <c r="V850">
        <v>0.1</v>
      </c>
      <c r="W850">
        <v>0.1</v>
      </c>
      <c r="X850">
        <v>14554.08</v>
      </c>
      <c r="Y850">
        <f t="shared" si="104"/>
        <v>14554.08</v>
      </c>
      <c r="Z850">
        <v>11166.84</v>
      </c>
      <c r="AA850">
        <v>3387.24</v>
      </c>
      <c r="AB850">
        <f t="shared" si="109"/>
        <v>3387.24</v>
      </c>
      <c r="AC850" s="8">
        <f t="shared" si="110"/>
        <v>0.23273473830018798</v>
      </c>
      <c r="AD850" t="s">
        <v>32</v>
      </c>
      <c r="AE850" t="s">
        <v>33</v>
      </c>
      <c r="AF850" t="str">
        <f t="shared" si="111"/>
        <v>Perfect Match</v>
      </c>
    </row>
    <row r="851" spans="1:32">
      <c r="A851" t="str">
        <f>IF(OR(I851&lt;0, ISTEXT(W851), ISTEXT(Y851)), "Invalid", IF(OR(B851="Conflicting Duplicate", M851="Unknown", S851="Unknown"), "Warning", "Valid"))</f>
        <v>Valid</v>
      </c>
      <c r="B851" t="str">
        <f t="shared" si="105"/>
        <v>-</v>
      </c>
      <c r="C851" t="s">
        <v>2414</v>
      </c>
      <c r="D851" s="2">
        <v>45853</v>
      </c>
      <c r="E851" t="str">
        <f t="shared" si="106"/>
        <v>July</v>
      </c>
      <c r="F851">
        <f t="shared" si="107"/>
        <v>2025</v>
      </c>
      <c r="G851" s="2">
        <v>45857</v>
      </c>
      <c r="H851" t="s">
        <v>2415</v>
      </c>
      <c r="I851">
        <f t="shared" si="108"/>
        <v>4</v>
      </c>
      <c r="J851" t="s">
        <v>2795</v>
      </c>
      <c r="K851" t="s">
        <v>162</v>
      </c>
      <c r="L851" t="s">
        <v>24</v>
      </c>
      <c r="M851" t="s">
        <v>54</v>
      </c>
      <c r="N851" t="s">
        <v>247</v>
      </c>
      <c r="O851" t="s">
        <v>248</v>
      </c>
      <c r="P851" t="s">
        <v>41</v>
      </c>
      <c r="Q851" t="s">
        <v>66</v>
      </c>
      <c r="R851" t="s">
        <v>2416</v>
      </c>
      <c r="S851" t="s">
        <v>44</v>
      </c>
      <c r="T851">
        <v>1</v>
      </c>
      <c r="U851">
        <v>3903.22</v>
      </c>
      <c r="V851">
        <v>0.05</v>
      </c>
      <c r="W851">
        <v>0.05</v>
      </c>
      <c r="X851">
        <v>3708.06</v>
      </c>
      <c r="Y851">
        <f t="shared" si="104"/>
        <v>3708.06</v>
      </c>
      <c r="Z851">
        <v>2760.29</v>
      </c>
      <c r="AA851">
        <v>947.77</v>
      </c>
      <c r="AB851">
        <f t="shared" si="109"/>
        <v>947.77</v>
      </c>
      <c r="AC851" s="8">
        <f t="shared" si="110"/>
        <v>0.25559726649514841</v>
      </c>
      <c r="AD851" t="s">
        <v>111</v>
      </c>
      <c r="AE851" t="s">
        <v>68</v>
      </c>
      <c r="AF851" t="str">
        <f t="shared" si="111"/>
        <v>Perfect Match</v>
      </c>
    </row>
    <row r="852" spans="1:32">
      <c r="A852" s="6" t="str">
        <f>IF(OR(I852&lt;0, ISTEXT(W852), ISTEXT(Y852)), "Invalid", IF(OR(B852="Conflicting Duplicate", M852="Unknown", S852="Unknown"), "Warning", "Valid"))</f>
        <v>Warning</v>
      </c>
      <c r="B852" t="str">
        <f t="shared" si="105"/>
        <v>-</v>
      </c>
      <c r="C852" t="s">
        <v>2417</v>
      </c>
      <c r="D852" s="2">
        <v>45709</v>
      </c>
      <c r="E852" t="str">
        <f t="shared" si="106"/>
        <v>February</v>
      </c>
      <c r="F852">
        <f t="shared" si="107"/>
        <v>2025</v>
      </c>
      <c r="G852" s="2">
        <v>45709</v>
      </c>
      <c r="H852" t="s">
        <v>2418</v>
      </c>
      <c r="I852">
        <f t="shared" si="108"/>
        <v>0</v>
      </c>
      <c r="J852" t="s">
        <v>2795</v>
      </c>
      <c r="K852" t="s">
        <v>23</v>
      </c>
      <c r="L852" t="s">
        <v>95</v>
      </c>
      <c r="M852" t="s">
        <v>63</v>
      </c>
      <c r="N852" t="s">
        <v>180</v>
      </c>
      <c r="O852" t="s">
        <v>181</v>
      </c>
      <c r="P852" t="s">
        <v>74</v>
      </c>
      <c r="Q852" t="s">
        <v>171</v>
      </c>
      <c r="R852" t="s">
        <v>2419</v>
      </c>
      <c r="S852" s="4" t="s">
        <v>2790</v>
      </c>
      <c r="T852">
        <v>4</v>
      </c>
      <c r="U852">
        <v>2945.07</v>
      </c>
      <c r="V852">
        <v>0.2</v>
      </c>
      <c r="W852">
        <v>0.2</v>
      </c>
      <c r="X852">
        <v>9424.2199999999993</v>
      </c>
      <c r="Y852">
        <f t="shared" si="104"/>
        <v>9424.2199999999993</v>
      </c>
      <c r="Z852">
        <v>6178.92</v>
      </c>
      <c r="AA852">
        <v>3245.3</v>
      </c>
      <c r="AB852">
        <f t="shared" si="109"/>
        <v>3245.2999999999993</v>
      </c>
      <c r="AC852" s="8">
        <f t="shared" si="110"/>
        <v>0.34435741101120299</v>
      </c>
      <c r="AD852" t="s">
        <v>32</v>
      </c>
      <c r="AE852" t="s">
        <v>33</v>
      </c>
      <c r="AF852" t="str">
        <f t="shared" si="111"/>
        <v>Perfect Match</v>
      </c>
    </row>
    <row r="853" spans="1:32">
      <c r="A853" s="6" t="str">
        <f>IF(OR(I853&lt;0, ISTEXT(W853), ISTEXT(Y853)), "Invalid", IF(OR(B853="Conflicting Duplicate", M853="Unknown", S853="Unknown"), "Warning", "Valid"))</f>
        <v>Warning</v>
      </c>
      <c r="B853" t="str">
        <f t="shared" si="105"/>
        <v>-</v>
      </c>
      <c r="C853" t="s">
        <v>2420</v>
      </c>
      <c r="D853" s="2">
        <v>45846</v>
      </c>
      <c r="E853" t="str">
        <f t="shared" si="106"/>
        <v>July</v>
      </c>
      <c r="F853">
        <f t="shared" si="107"/>
        <v>2025</v>
      </c>
      <c r="G853" s="2">
        <v>45876</v>
      </c>
      <c r="H853" t="s">
        <v>2421</v>
      </c>
      <c r="I853">
        <f t="shared" si="108"/>
        <v>30</v>
      </c>
      <c r="J853" t="s">
        <v>2795</v>
      </c>
      <c r="K853" t="s">
        <v>264</v>
      </c>
      <c r="L853" t="s">
        <v>24</v>
      </c>
      <c r="M853" t="s">
        <v>63</v>
      </c>
      <c r="N853" t="s">
        <v>26</v>
      </c>
      <c r="O853" t="s">
        <v>109</v>
      </c>
      <c r="P853" t="s">
        <v>74</v>
      </c>
      <c r="Q853" t="s">
        <v>274</v>
      </c>
      <c r="R853" t="s">
        <v>2422</v>
      </c>
      <c r="S853" s="4" t="s">
        <v>2790</v>
      </c>
      <c r="T853">
        <v>9</v>
      </c>
      <c r="U853">
        <v>1076.75</v>
      </c>
      <c r="V853">
        <v>0.2</v>
      </c>
      <c r="W853">
        <v>0.2</v>
      </c>
      <c r="X853">
        <v>7752.6</v>
      </c>
      <c r="Y853">
        <f t="shared" si="104"/>
        <v>7752.6</v>
      </c>
      <c r="Z853">
        <v>4689.3</v>
      </c>
      <c r="AA853">
        <v>3063.3</v>
      </c>
      <c r="AB853">
        <f t="shared" si="109"/>
        <v>3063.3</v>
      </c>
      <c r="AC853" s="8">
        <f t="shared" si="110"/>
        <v>0.39513195573098059</v>
      </c>
      <c r="AD853" t="s">
        <v>32</v>
      </c>
      <c r="AE853" t="s">
        <v>33</v>
      </c>
      <c r="AF853" t="str">
        <f t="shared" si="111"/>
        <v>Perfect Match</v>
      </c>
    </row>
    <row r="854" spans="1:32">
      <c r="A854" s="6" t="str">
        <f>IF(OR(I854&lt;0, ISTEXT(W854), ISTEXT(Y854)), "Invalid", IF(OR(B854="Conflicting Duplicate", M854="Unknown", S854="Unknown"), "Warning", "Valid"))</f>
        <v>Invalid</v>
      </c>
      <c r="B854" t="str">
        <f t="shared" si="105"/>
        <v>-</v>
      </c>
      <c r="C854" t="s">
        <v>2426</v>
      </c>
      <c r="D854" s="2">
        <v>45875</v>
      </c>
      <c r="E854" t="str">
        <f t="shared" si="106"/>
        <v>August</v>
      </c>
      <c r="F854">
        <f t="shared" si="107"/>
        <v>2025</v>
      </c>
      <c r="G854" s="2">
        <v>45821</v>
      </c>
      <c r="H854" t="s">
        <v>2427</v>
      </c>
      <c r="I854" s="7">
        <f t="shared" si="108"/>
        <v>-54</v>
      </c>
      <c r="J854" s="7" t="s">
        <v>2802</v>
      </c>
      <c r="K854" t="s">
        <v>89</v>
      </c>
      <c r="L854" t="s">
        <v>37</v>
      </c>
      <c r="M854" t="s">
        <v>25</v>
      </c>
      <c r="N854" t="s">
        <v>26</v>
      </c>
      <c r="O854" t="s">
        <v>27</v>
      </c>
      <c r="P854" t="s">
        <v>74</v>
      </c>
      <c r="Q854" t="s">
        <v>80</v>
      </c>
      <c r="R854" t="s">
        <v>2428</v>
      </c>
      <c r="S854" t="s">
        <v>31</v>
      </c>
      <c r="T854">
        <v>7</v>
      </c>
      <c r="U854">
        <v>3857.13</v>
      </c>
      <c r="V854">
        <v>0</v>
      </c>
      <c r="W854">
        <v>0</v>
      </c>
      <c r="X854">
        <v>26999.91</v>
      </c>
      <c r="Y854">
        <f t="shared" si="104"/>
        <v>26999.91</v>
      </c>
      <c r="Z854">
        <v>17815.98</v>
      </c>
      <c r="AA854">
        <v>9183.93</v>
      </c>
      <c r="AB854">
        <f t="shared" si="109"/>
        <v>9183.93</v>
      </c>
      <c r="AC854" s="8">
        <f t="shared" si="110"/>
        <v>0.34014668937785347</v>
      </c>
      <c r="AD854" t="s">
        <v>32</v>
      </c>
      <c r="AE854" t="s">
        <v>33</v>
      </c>
      <c r="AF854" t="str">
        <f t="shared" si="111"/>
        <v>Perfect Match</v>
      </c>
    </row>
    <row r="855" spans="1:32">
      <c r="A855" t="str">
        <f>IF(OR(I855&lt;0, ISTEXT(W855), ISTEXT(Y855)), "Invalid", IF(OR(B855="Conflicting Duplicate", M855="Unknown", S855="Unknown"), "Warning", "Valid"))</f>
        <v>Valid</v>
      </c>
      <c r="B855" t="str">
        <f t="shared" si="105"/>
        <v>-</v>
      </c>
      <c r="C855" t="s">
        <v>2444</v>
      </c>
      <c r="D855" s="2">
        <v>45730</v>
      </c>
      <c r="E855" t="str">
        <f t="shared" si="106"/>
        <v>March</v>
      </c>
      <c r="F855">
        <f t="shared" si="107"/>
        <v>2025</v>
      </c>
      <c r="G855" s="2">
        <v>45738</v>
      </c>
      <c r="H855" t="s">
        <v>2445</v>
      </c>
      <c r="I855">
        <f t="shared" si="108"/>
        <v>8</v>
      </c>
      <c r="J855" t="s">
        <v>2795</v>
      </c>
      <c r="K855" t="s">
        <v>36</v>
      </c>
      <c r="L855" t="s">
        <v>90</v>
      </c>
      <c r="M855" t="s">
        <v>38</v>
      </c>
      <c r="N855" t="s">
        <v>99</v>
      </c>
      <c r="O855" t="s">
        <v>100</v>
      </c>
      <c r="P855" t="s">
        <v>74</v>
      </c>
      <c r="Q855" t="s">
        <v>80</v>
      </c>
      <c r="R855" t="s">
        <v>2446</v>
      </c>
      <c r="S855" t="s">
        <v>59</v>
      </c>
      <c r="T855">
        <v>2</v>
      </c>
      <c r="U855">
        <v>669.63</v>
      </c>
      <c r="V855">
        <v>0.15</v>
      </c>
      <c r="W855">
        <v>0.15</v>
      </c>
      <c r="X855">
        <v>1138.3699999999999</v>
      </c>
      <c r="Y855">
        <f t="shared" si="104"/>
        <v>1138.3699999999999</v>
      </c>
      <c r="Z855">
        <v>797.34</v>
      </c>
      <c r="AA855">
        <v>341.03</v>
      </c>
      <c r="AB855">
        <f t="shared" si="109"/>
        <v>341.02999999999986</v>
      </c>
      <c r="AC855" s="8">
        <f t="shared" si="110"/>
        <v>0.29957746602598445</v>
      </c>
      <c r="AD855" t="s">
        <v>32</v>
      </c>
      <c r="AE855" t="s">
        <v>33</v>
      </c>
      <c r="AF855" t="str">
        <f t="shared" si="111"/>
        <v>Perfect Match</v>
      </c>
    </row>
    <row r="856" spans="1:32">
      <c r="A856" t="str">
        <f>IF(OR(I856&lt;0, ISTEXT(W856), ISTEXT(Y856)), "Invalid", IF(OR(B856="Conflicting Duplicate", M856="Unknown", S856="Unknown"), "Warning", "Valid"))</f>
        <v>Valid</v>
      </c>
      <c r="B856" t="str">
        <f t="shared" si="105"/>
        <v>-</v>
      </c>
      <c r="C856" t="s">
        <v>2450</v>
      </c>
      <c r="D856" s="2">
        <v>45934</v>
      </c>
      <c r="E856" t="str">
        <f t="shared" si="106"/>
        <v>October</v>
      </c>
      <c r="F856">
        <f t="shared" si="107"/>
        <v>2025</v>
      </c>
      <c r="G856" s="2">
        <v>45935</v>
      </c>
      <c r="H856" t="s">
        <v>2451</v>
      </c>
      <c r="I856">
        <f t="shared" si="108"/>
        <v>1</v>
      </c>
      <c r="J856" t="s">
        <v>2795</v>
      </c>
      <c r="K856" t="s">
        <v>114</v>
      </c>
      <c r="L856" t="s">
        <v>90</v>
      </c>
      <c r="M856" t="s">
        <v>2452</v>
      </c>
      <c r="N856" t="s">
        <v>122</v>
      </c>
      <c r="O856" t="s">
        <v>123</v>
      </c>
      <c r="P856" t="s">
        <v>74</v>
      </c>
      <c r="Q856" t="s">
        <v>80</v>
      </c>
      <c r="R856" t="s">
        <v>2453</v>
      </c>
      <c r="S856" t="s">
        <v>50</v>
      </c>
      <c r="T856">
        <v>4</v>
      </c>
      <c r="U856">
        <v>418.18</v>
      </c>
      <c r="V856">
        <v>0.05</v>
      </c>
      <c r="W856">
        <v>0.05</v>
      </c>
      <c r="X856">
        <v>1589.08</v>
      </c>
      <c r="Y856">
        <f t="shared" si="104"/>
        <v>1589.08</v>
      </c>
      <c r="Z856">
        <v>1084.6600000000001</v>
      </c>
      <c r="AA856">
        <v>504.42</v>
      </c>
      <c r="AB856">
        <f t="shared" si="109"/>
        <v>504.41999999999985</v>
      </c>
      <c r="AC856" s="8">
        <f t="shared" si="110"/>
        <v>0.31742895260150517</v>
      </c>
      <c r="AD856" t="s">
        <v>32</v>
      </c>
      <c r="AE856" t="s">
        <v>33</v>
      </c>
      <c r="AF856" t="str">
        <f t="shared" si="111"/>
        <v>Perfect Match</v>
      </c>
    </row>
    <row r="857" spans="1:32">
      <c r="A857" s="6" t="str">
        <f>IF(OR(I857&lt;0, ISTEXT(W857), ISTEXT(Y857)), "Invalid", IF(OR(B857="Conflicting Duplicate", M857="Unknown", S857="Unknown"), "Warning", "Valid"))</f>
        <v>Warning</v>
      </c>
      <c r="B857" t="str">
        <f t="shared" si="105"/>
        <v>-</v>
      </c>
      <c r="C857" t="s">
        <v>2457</v>
      </c>
      <c r="D857" s="2">
        <v>45844</v>
      </c>
      <c r="E857" t="str">
        <f t="shared" si="106"/>
        <v>July</v>
      </c>
      <c r="F857">
        <f t="shared" si="107"/>
        <v>2025</v>
      </c>
      <c r="G857" s="2">
        <v>45846</v>
      </c>
      <c r="H857" t="s">
        <v>2458</v>
      </c>
      <c r="I857">
        <f t="shared" si="108"/>
        <v>2</v>
      </c>
      <c r="J857" t="s">
        <v>2795</v>
      </c>
      <c r="K857" t="s">
        <v>62</v>
      </c>
      <c r="L857" t="s">
        <v>90</v>
      </c>
      <c r="M857" t="s">
        <v>25</v>
      </c>
      <c r="N857" t="s">
        <v>26</v>
      </c>
      <c r="O857" t="s">
        <v>27</v>
      </c>
      <c r="P857" t="s">
        <v>41</v>
      </c>
      <c r="Q857" t="s">
        <v>57</v>
      </c>
      <c r="R857" t="s">
        <v>2459</v>
      </c>
      <c r="S857" s="4" t="s">
        <v>2790</v>
      </c>
      <c r="T857">
        <v>4</v>
      </c>
      <c r="U857">
        <v>715.45</v>
      </c>
      <c r="V857">
        <v>0.05</v>
      </c>
      <c r="W857">
        <v>0.05</v>
      </c>
      <c r="X857">
        <v>2718.71</v>
      </c>
      <c r="Y857">
        <f t="shared" si="104"/>
        <v>2718.71</v>
      </c>
      <c r="Z857">
        <v>2065.0500000000002</v>
      </c>
      <c r="AA857">
        <v>653.66</v>
      </c>
      <c r="AB857">
        <f t="shared" si="109"/>
        <v>653.65999999999985</v>
      </c>
      <c r="AC857" s="8">
        <f t="shared" si="110"/>
        <v>0.24043020403058799</v>
      </c>
      <c r="AD857" t="s">
        <v>102</v>
      </c>
      <c r="AE857" t="s">
        <v>103</v>
      </c>
      <c r="AF857" t="str">
        <f t="shared" si="111"/>
        <v>Perfect Match</v>
      </c>
    </row>
    <row r="858" spans="1:32">
      <c r="A858" s="6" t="str">
        <f>IF(OR(I858&lt;0, ISTEXT(W858), ISTEXT(Y858)), "Invalid", IF(OR(B858="Conflicting Duplicate", M858="Unknown", S858="Unknown"), "Warning", "Valid"))</f>
        <v>Warning</v>
      </c>
      <c r="B858" t="str">
        <f t="shared" si="105"/>
        <v>-</v>
      </c>
      <c r="C858" t="s">
        <v>2466</v>
      </c>
      <c r="D858" s="2">
        <v>45723</v>
      </c>
      <c r="E858" t="str">
        <f t="shared" si="106"/>
        <v>March</v>
      </c>
      <c r="F858">
        <f t="shared" si="107"/>
        <v>2025</v>
      </c>
      <c r="G858" s="2">
        <v>45724</v>
      </c>
      <c r="H858" t="s">
        <v>2467</v>
      </c>
      <c r="I858">
        <f t="shared" si="108"/>
        <v>1</v>
      </c>
      <c r="J858" t="s">
        <v>2795</v>
      </c>
      <c r="K858" t="s">
        <v>114</v>
      </c>
      <c r="L858" t="s">
        <v>95</v>
      </c>
      <c r="M858" s="4" t="s">
        <v>2790</v>
      </c>
      <c r="N858" t="s">
        <v>26</v>
      </c>
      <c r="O858" t="s">
        <v>109</v>
      </c>
      <c r="P858" t="s">
        <v>74</v>
      </c>
      <c r="Q858" t="s">
        <v>80</v>
      </c>
      <c r="R858" t="s">
        <v>2468</v>
      </c>
      <c r="S858" t="s">
        <v>44</v>
      </c>
      <c r="T858">
        <v>4</v>
      </c>
      <c r="U858">
        <v>3537.48</v>
      </c>
      <c r="V858">
        <v>0</v>
      </c>
      <c r="W858">
        <v>0</v>
      </c>
      <c r="X858">
        <v>14149.92</v>
      </c>
      <c r="Y858">
        <f t="shared" si="104"/>
        <v>14149.92</v>
      </c>
      <c r="Z858">
        <v>9466.51</v>
      </c>
      <c r="AA858">
        <v>4683.41</v>
      </c>
      <c r="AB858">
        <f t="shared" si="109"/>
        <v>4683.41</v>
      </c>
      <c r="AC858" s="8">
        <f t="shared" si="110"/>
        <v>0.33098491016203624</v>
      </c>
      <c r="AD858" t="s">
        <v>32</v>
      </c>
      <c r="AE858" t="s">
        <v>33</v>
      </c>
      <c r="AF858" t="str">
        <f t="shared" si="111"/>
        <v>Perfect Match</v>
      </c>
    </row>
    <row r="859" spans="1:32">
      <c r="A859" t="str">
        <f>IF(OR(I859&lt;0, ISTEXT(W859), ISTEXT(Y859)), "Invalid", IF(OR(B859="Conflicting Duplicate", M859="Unknown", S859="Unknown"), "Warning", "Valid"))</f>
        <v>Valid</v>
      </c>
      <c r="B859" t="str">
        <f t="shared" si="105"/>
        <v>-</v>
      </c>
      <c r="C859" t="s">
        <v>2475</v>
      </c>
      <c r="D859" s="2">
        <v>45812</v>
      </c>
      <c r="E859" t="str">
        <f t="shared" si="106"/>
        <v>June</v>
      </c>
      <c r="F859">
        <f t="shared" si="107"/>
        <v>2025</v>
      </c>
      <c r="G859" s="2">
        <v>45816</v>
      </c>
      <c r="H859" t="s">
        <v>2476</v>
      </c>
      <c r="I859">
        <f t="shared" si="108"/>
        <v>4</v>
      </c>
      <c r="J859" t="s">
        <v>2795</v>
      </c>
      <c r="K859" t="s">
        <v>53</v>
      </c>
      <c r="L859" t="s">
        <v>37</v>
      </c>
      <c r="M859" t="s">
        <v>38</v>
      </c>
      <c r="N859" t="s">
        <v>166</v>
      </c>
      <c r="O859" t="s">
        <v>167</v>
      </c>
      <c r="P859" t="s">
        <v>41</v>
      </c>
      <c r="Q859" t="s">
        <v>57</v>
      </c>
      <c r="R859" t="s">
        <v>2477</v>
      </c>
      <c r="S859" t="s">
        <v>31</v>
      </c>
      <c r="T859">
        <v>1</v>
      </c>
      <c r="U859">
        <v>3501.12</v>
      </c>
      <c r="V859">
        <v>0.2</v>
      </c>
      <c r="W859">
        <v>0.2</v>
      </c>
      <c r="X859">
        <v>2800.9</v>
      </c>
      <c r="Y859">
        <f t="shared" si="104"/>
        <v>2800.9</v>
      </c>
      <c r="Z859">
        <v>1735.98</v>
      </c>
      <c r="AA859">
        <v>1064.92</v>
      </c>
      <c r="AB859">
        <f t="shared" si="109"/>
        <v>1064.92</v>
      </c>
      <c r="AC859" s="8">
        <f t="shared" si="110"/>
        <v>0.38020636224070836</v>
      </c>
      <c r="AD859" t="s">
        <v>32</v>
      </c>
      <c r="AE859" t="s">
        <v>103</v>
      </c>
      <c r="AF859" t="str">
        <f t="shared" si="111"/>
        <v>Perfect Match</v>
      </c>
    </row>
    <row r="860" spans="1:32">
      <c r="A860" t="str">
        <f>IF(OR(I860&lt;0, ISTEXT(W860), ISTEXT(Y860)), "Invalid", IF(OR(B860="Conflicting Duplicate", M860="Unknown", S860="Unknown"), "Warning", "Valid"))</f>
        <v>Valid</v>
      </c>
      <c r="B860" t="str">
        <f t="shared" si="105"/>
        <v>-</v>
      </c>
      <c r="C860" t="s">
        <v>2481</v>
      </c>
      <c r="D860" s="2">
        <v>45830</v>
      </c>
      <c r="E860" t="str">
        <f t="shared" si="106"/>
        <v>June</v>
      </c>
      <c r="F860">
        <f t="shared" si="107"/>
        <v>2025</v>
      </c>
      <c r="G860" s="2">
        <v>45832</v>
      </c>
      <c r="H860" t="s">
        <v>2482</v>
      </c>
      <c r="I860">
        <f t="shared" si="108"/>
        <v>2</v>
      </c>
      <c r="J860" t="s">
        <v>2795</v>
      </c>
      <c r="K860" t="s">
        <v>132</v>
      </c>
      <c r="L860" t="s">
        <v>90</v>
      </c>
      <c r="M860" t="s">
        <v>38</v>
      </c>
      <c r="N860" t="s">
        <v>166</v>
      </c>
      <c r="O860" t="s">
        <v>167</v>
      </c>
      <c r="P860" t="s">
        <v>28</v>
      </c>
      <c r="Q860" t="s">
        <v>29</v>
      </c>
      <c r="R860" t="s">
        <v>2483</v>
      </c>
      <c r="S860" t="s">
        <v>59</v>
      </c>
      <c r="T860">
        <v>9</v>
      </c>
      <c r="U860">
        <v>951.55</v>
      </c>
      <c r="V860">
        <v>0.15</v>
      </c>
      <c r="W860">
        <v>0.15</v>
      </c>
      <c r="X860">
        <v>7279.36</v>
      </c>
      <c r="Y860">
        <f t="shared" si="104"/>
        <v>7279.36</v>
      </c>
      <c r="Z860">
        <v>4870.3900000000003</v>
      </c>
      <c r="AA860">
        <v>2408.9699999999998</v>
      </c>
      <c r="AB860">
        <f t="shared" si="109"/>
        <v>2408.9699999999993</v>
      </c>
      <c r="AC860" s="8">
        <f t="shared" si="110"/>
        <v>0.33093156541234386</v>
      </c>
      <c r="AD860" t="s">
        <v>32</v>
      </c>
      <c r="AE860" t="s">
        <v>33</v>
      </c>
      <c r="AF860" t="str">
        <f t="shared" si="111"/>
        <v>Perfect Match</v>
      </c>
    </row>
    <row r="861" spans="1:32">
      <c r="A861" t="str">
        <f>IF(OR(I861&lt;0, ISTEXT(W861), ISTEXT(Y861)), "Invalid", IF(OR(B861="Conflicting Duplicate", M861="Unknown", S861="Unknown"), "Warning", "Valid"))</f>
        <v>Valid</v>
      </c>
      <c r="B861" t="str">
        <f t="shared" si="105"/>
        <v>-</v>
      </c>
      <c r="C861" t="s">
        <v>2493</v>
      </c>
      <c r="D861" s="2">
        <v>45849</v>
      </c>
      <c r="E861" t="str">
        <f t="shared" si="106"/>
        <v>July</v>
      </c>
      <c r="F861">
        <f t="shared" si="107"/>
        <v>2025</v>
      </c>
      <c r="G861" s="2">
        <v>45907</v>
      </c>
      <c r="H861" t="s">
        <v>2494</v>
      </c>
      <c r="I861">
        <f t="shared" si="108"/>
        <v>58</v>
      </c>
      <c r="J861" t="s">
        <v>2795</v>
      </c>
      <c r="K861" t="s">
        <v>89</v>
      </c>
      <c r="L861" t="s">
        <v>90</v>
      </c>
      <c r="M861" t="s">
        <v>25</v>
      </c>
      <c r="N861" t="s">
        <v>350</v>
      </c>
      <c r="O861" t="s">
        <v>351</v>
      </c>
      <c r="P861" t="s">
        <v>41</v>
      </c>
      <c r="Q861" t="s">
        <v>57</v>
      </c>
      <c r="R861" t="s">
        <v>2495</v>
      </c>
      <c r="S861" t="s">
        <v>59</v>
      </c>
      <c r="T861">
        <v>9</v>
      </c>
      <c r="U861">
        <v>1706.05</v>
      </c>
      <c r="V861">
        <v>0</v>
      </c>
      <c r="W861">
        <v>0</v>
      </c>
      <c r="X861">
        <v>15354.45</v>
      </c>
      <c r="Y861">
        <f t="shared" si="104"/>
        <v>15354.45</v>
      </c>
      <c r="Z861">
        <v>9656.5</v>
      </c>
      <c r="AA861">
        <v>5697.95</v>
      </c>
      <c r="AB861">
        <f t="shared" si="109"/>
        <v>5697.9500000000007</v>
      </c>
      <c r="AC861" s="8">
        <f t="shared" si="110"/>
        <v>0.37109437329243317</v>
      </c>
      <c r="AD861" t="s">
        <v>32</v>
      </c>
      <c r="AE861" t="s">
        <v>33</v>
      </c>
      <c r="AF861" t="str">
        <f t="shared" si="111"/>
        <v>Perfect Match</v>
      </c>
    </row>
    <row r="862" spans="1:32">
      <c r="A862" t="str">
        <f>IF(OR(I862&lt;0, ISTEXT(W862), ISTEXT(Y862)), "Invalid", IF(OR(B862="Conflicting Duplicate", M862="Unknown", S862="Unknown"), "Warning", "Valid"))</f>
        <v>Valid</v>
      </c>
      <c r="B862" t="str">
        <f t="shared" si="105"/>
        <v>-</v>
      </c>
      <c r="C862" t="s">
        <v>2502</v>
      </c>
      <c r="D862" s="2">
        <v>45938</v>
      </c>
      <c r="E862" t="str">
        <f t="shared" si="106"/>
        <v>October</v>
      </c>
      <c r="F862">
        <f t="shared" si="107"/>
        <v>2025</v>
      </c>
      <c r="G862" s="2">
        <v>45945</v>
      </c>
      <c r="H862" t="s">
        <v>2503</v>
      </c>
      <c r="I862">
        <f t="shared" si="108"/>
        <v>7</v>
      </c>
      <c r="J862" t="s">
        <v>2795</v>
      </c>
      <c r="K862" t="s">
        <v>128</v>
      </c>
      <c r="L862" t="s">
        <v>95</v>
      </c>
      <c r="M862" t="s">
        <v>38</v>
      </c>
      <c r="N862" t="s">
        <v>39</v>
      </c>
      <c r="O862" t="s">
        <v>40</v>
      </c>
      <c r="P862" t="s">
        <v>74</v>
      </c>
      <c r="Q862" t="s">
        <v>75</v>
      </c>
      <c r="R862" t="s">
        <v>2504</v>
      </c>
      <c r="S862" t="s">
        <v>31</v>
      </c>
      <c r="T862">
        <v>3</v>
      </c>
      <c r="U862">
        <v>3372.21</v>
      </c>
      <c r="V862">
        <v>0.2</v>
      </c>
      <c r="W862">
        <v>0.2</v>
      </c>
      <c r="X862">
        <v>8093.3</v>
      </c>
      <c r="Y862">
        <f t="shared" si="104"/>
        <v>8093.3</v>
      </c>
      <c r="Z862">
        <v>6052.43</v>
      </c>
      <c r="AA862">
        <v>2040.87</v>
      </c>
      <c r="AB862">
        <f t="shared" si="109"/>
        <v>2040.87</v>
      </c>
      <c r="AC862" s="8">
        <f t="shared" si="110"/>
        <v>0.252167842536419</v>
      </c>
      <c r="AD862" t="s">
        <v>111</v>
      </c>
      <c r="AE862" t="s">
        <v>68</v>
      </c>
      <c r="AF862" t="str">
        <f t="shared" si="111"/>
        <v>Perfect Match</v>
      </c>
    </row>
    <row r="863" spans="1:32">
      <c r="A863" t="str">
        <f>IF(OR(I863&lt;0, ISTEXT(W863), ISTEXT(Y863)), "Invalid", IF(OR(B863="Conflicting Duplicate", M863="Unknown", S863="Unknown"), "Warning", "Valid"))</f>
        <v>Valid</v>
      </c>
      <c r="B863" t="str">
        <f t="shared" si="105"/>
        <v>-</v>
      </c>
      <c r="C863" t="s">
        <v>2505</v>
      </c>
      <c r="D863" s="2">
        <v>45704</v>
      </c>
      <c r="E863" t="str">
        <f t="shared" si="106"/>
        <v>February</v>
      </c>
      <c r="F863">
        <f t="shared" si="107"/>
        <v>2025</v>
      </c>
      <c r="G863" s="2">
        <v>45704</v>
      </c>
      <c r="H863" t="s">
        <v>2506</v>
      </c>
      <c r="I863">
        <f t="shared" si="108"/>
        <v>0</v>
      </c>
      <c r="J863" t="s">
        <v>2795</v>
      </c>
      <c r="K863" t="s">
        <v>141</v>
      </c>
      <c r="L863" t="s">
        <v>37</v>
      </c>
      <c r="M863" t="s">
        <v>38</v>
      </c>
      <c r="N863" t="s">
        <v>166</v>
      </c>
      <c r="O863" t="s">
        <v>167</v>
      </c>
      <c r="P863" t="s">
        <v>41</v>
      </c>
      <c r="Q863" t="s">
        <v>57</v>
      </c>
      <c r="R863" t="s">
        <v>2507</v>
      </c>
      <c r="S863" t="s">
        <v>31</v>
      </c>
      <c r="T863">
        <v>6</v>
      </c>
      <c r="U863">
        <v>1441.91</v>
      </c>
      <c r="V863">
        <v>0</v>
      </c>
      <c r="W863">
        <v>0</v>
      </c>
      <c r="X863">
        <v>8651.4599999999991</v>
      </c>
      <c r="Y863">
        <f t="shared" si="104"/>
        <v>8651.4599999999991</v>
      </c>
      <c r="Z863">
        <v>5254.62</v>
      </c>
      <c r="AA863">
        <v>3396.84</v>
      </c>
      <c r="AB863">
        <f t="shared" si="109"/>
        <v>3396.8399999999992</v>
      </c>
      <c r="AC863" s="8">
        <f t="shared" si="110"/>
        <v>0.39263199506210505</v>
      </c>
      <c r="AD863" t="s">
        <v>2508</v>
      </c>
      <c r="AE863" t="s">
        <v>103</v>
      </c>
      <c r="AF863" t="str">
        <f t="shared" si="111"/>
        <v>Perfect Match</v>
      </c>
    </row>
    <row r="864" spans="1:32">
      <c r="A864" s="6" t="str">
        <f>IF(OR(I864&lt;0, ISTEXT(W864), ISTEXT(Y864)), "Invalid", IF(OR(B864="Conflicting Duplicate", M864="Unknown", S864="Unknown"), "Warning", "Valid"))</f>
        <v>Invalid</v>
      </c>
      <c r="B864" t="str">
        <f t="shared" si="105"/>
        <v>-</v>
      </c>
      <c r="C864" t="s">
        <v>2512</v>
      </c>
      <c r="D864" s="2">
        <v>45939</v>
      </c>
      <c r="E864" t="str">
        <f t="shared" si="106"/>
        <v>October</v>
      </c>
      <c r="F864">
        <f t="shared" si="107"/>
        <v>2025</v>
      </c>
      <c r="G864" s="2">
        <v>45918</v>
      </c>
      <c r="H864" t="s">
        <v>2513</v>
      </c>
      <c r="I864" s="7">
        <f t="shared" si="108"/>
        <v>-21</v>
      </c>
      <c r="J864" s="7" t="s">
        <v>2802</v>
      </c>
      <c r="K864" t="s">
        <v>118</v>
      </c>
      <c r="L864" t="s">
        <v>95</v>
      </c>
      <c r="M864" t="s">
        <v>54</v>
      </c>
      <c r="N864" t="s">
        <v>55</v>
      </c>
      <c r="O864" t="s">
        <v>56</v>
      </c>
      <c r="P864" t="s">
        <v>41</v>
      </c>
      <c r="Q864" t="s">
        <v>57</v>
      </c>
      <c r="R864" t="s">
        <v>2514</v>
      </c>
      <c r="S864" t="s">
        <v>59</v>
      </c>
      <c r="T864">
        <v>1</v>
      </c>
      <c r="U864">
        <v>2050.62</v>
      </c>
      <c r="V864">
        <v>0.05</v>
      </c>
      <c r="W864">
        <v>0.05</v>
      </c>
      <c r="X864">
        <v>1948.09</v>
      </c>
      <c r="Y864">
        <f t="shared" si="104"/>
        <v>1948.09</v>
      </c>
      <c r="Z864">
        <v>1507.08</v>
      </c>
      <c r="AA864">
        <v>441.01</v>
      </c>
      <c r="AB864">
        <f t="shared" si="109"/>
        <v>441.01</v>
      </c>
      <c r="AC864" s="8">
        <f t="shared" si="110"/>
        <v>0.22638071136343804</v>
      </c>
      <c r="AD864" t="s">
        <v>32</v>
      </c>
      <c r="AE864" t="s">
        <v>33</v>
      </c>
      <c r="AF864" t="str">
        <f t="shared" si="111"/>
        <v>Perfect Match</v>
      </c>
    </row>
    <row r="865" spans="1:32">
      <c r="A865" t="str">
        <f>IF(OR(I865&lt;0, ISTEXT(W865), ISTEXT(Y865)), "Invalid", IF(OR(B865="Conflicting Duplicate", M865="Unknown", S865="Unknown"), "Warning", "Valid"))</f>
        <v>Valid</v>
      </c>
      <c r="B865" t="str">
        <f t="shared" si="105"/>
        <v>-</v>
      </c>
      <c r="C865" t="s">
        <v>2515</v>
      </c>
      <c r="D865" s="2">
        <v>45753</v>
      </c>
      <c r="E865" t="str">
        <f t="shared" si="106"/>
        <v>April</v>
      </c>
      <c r="F865">
        <f t="shared" si="107"/>
        <v>2025</v>
      </c>
      <c r="G865" s="2">
        <v>45842</v>
      </c>
      <c r="H865" t="s">
        <v>2378</v>
      </c>
      <c r="I865">
        <f t="shared" si="108"/>
        <v>89</v>
      </c>
      <c r="J865" t="s">
        <v>2795</v>
      </c>
      <c r="K865" t="s">
        <v>114</v>
      </c>
      <c r="L865" t="s">
        <v>95</v>
      </c>
      <c r="M865" t="s">
        <v>38</v>
      </c>
      <c r="N865" t="s">
        <v>166</v>
      </c>
      <c r="O865" t="s">
        <v>167</v>
      </c>
      <c r="P865" t="s">
        <v>28</v>
      </c>
      <c r="Q865" t="s">
        <v>153</v>
      </c>
      <c r="R865" t="s">
        <v>2516</v>
      </c>
      <c r="S865" t="s">
        <v>31</v>
      </c>
      <c r="T865">
        <v>2</v>
      </c>
      <c r="U865">
        <v>2030.06</v>
      </c>
      <c r="V865">
        <v>0.25</v>
      </c>
      <c r="W865">
        <v>0.25</v>
      </c>
      <c r="X865">
        <v>3045.09</v>
      </c>
      <c r="Y865">
        <f t="shared" si="104"/>
        <v>3045.09</v>
      </c>
      <c r="Z865">
        <v>2601.09</v>
      </c>
      <c r="AA865">
        <v>444</v>
      </c>
      <c r="AB865">
        <f t="shared" si="109"/>
        <v>444</v>
      </c>
      <c r="AC865" s="8">
        <f t="shared" si="110"/>
        <v>0.14580849827098705</v>
      </c>
      <c r="AD865" t="s">
        <v>32</v>
      </c>
      <c r="AE865" t="s">
        <v>33</v>
      </c>
      <c r="AF865" t="str">
        <f t="shared" si="111"/>
        <v>Perfect Match</v>
      </c>
    </row>
    <row r="866" spans="1:32">
      <c r="A866" t="str">
        <f>IF(OR(I866&lt;0, ISTEXT(W866), ISTEXT(Y866)), "Invalid", IF(OR(B866="Conflicting Duplicate", M866="Unknown", S866="Unknown"), "Warning", "Valid"))</f>
        <v>Valid</v>
      </c>
      <c r="B866" t="str">
        <f t="shared" si="105"/>
        <v>-</v>
      </c>
      <c r="C866" t="s">
        <v>2520</v>
      </c>
      <c r="D866" s="2">
        <v>45695</v>
      </c>
      <c r="E866" t="str">
        <f t="shared" si="106"/>
        <v>February</v>
      </c>
      <c r="F866">
        <f t="shared" si="107"/>
        <v>2025</v>
      </c>
      <c r="G866" s="2">
        <v>45696</v>
      </c>
      <c r="H866" t="s">
        <v>2521</v>
      </c>
      <c r="I866">
        <f t="shared" si="108"/>
        <v>1</v>
      </c>
      <c r="J866" t="s">
        <v>2795</v>
      </c>
      <c r="K866" t="s">
        <v>23</v>
      </c>
      <c r="L866" t="s">
        <v>37</v>
      </c>
      <c r="M866" t="s">
        <v>54</v>
      </c>
      <c r="N866" t="s">
        <v>55</v>
      </c>
      <c r="O866" t="s">
        <v>56</v>
      </c>
      <c r="P866" t="s">
        <v>28</v>
      </c>
      <c r="Q866" t="s">
        <v>91</v>
      </c>
      <c r="R866" t="s">
        <v>2522</v>
      </c>
      <c r="S866" t="s">
        <v>59</v>
      </c>
      <c r="T866">
        <v>2</v>
      </c>
      <c r="U866">
        <v>2432.98</v>
      </c>
      <c r="V866">
        <v>0.1</v>
      </c>
      <c r="W866">
        <v>0.1</v>
      </c>
      <c r="X866">
        <v>4379.3599999999997</v>
      </c>
      <c r="Y866">
        <f t="shared" si="104"/>
        <v>4379.3599999999997</v>
      </c>
      <c r="Z866">
        <v>3723.93</v>
      </c>
      <c r="AA866">
        <v>655.43</v>
      </c>
      <c r="AB866">
        <f t="shared" si="109"/>
        <v>655.42999999999984</v>
      </c>
      <c r="AC866" s="8">
        <f t="shared" si="110"/>
        <v>0.14966342113916187</v>
      </c>
      <c r="AD866" t="s">
        <v>32</v>
      </c>
      <c r="AE866" t="s">
        <v>33</v>
      </c>
      <c r="AF866" t="str">
        <f t="shared" si="111"/>
        <v>Perfect Match</v>
      </c>
    </row>
    <row r="867" spans="1:32">
      <c r="A867" s="6" t="str">
        <f>IF(OR(I867&lt;0, ISTEXT(W867), ISTEXT(Y867)), "Invalid", IF(OR(B867="Conflicting Duplicate", M867="Unknown", S867="Unknown"), "Warning", "Valid"))</f>
        <v>Invalid</v>
      </c>
      <c r="B867" t="str">
        <f t="shared" si="105"/>
        <v>-</v>
      </c>
      <c r="C867" t="s">
        <v>2523</v>
      </c>
      <c r="D867" s="2">
        <v>45900</v>
      </c>
      <c r="E867" t="str">
        <f t="shared" si="106"/>
        <v>August</v>
      </c>
      <c r="F867">
        <f t="shared" si="107"/>
        <v>2025</v>
      </c>
      <c r="G867" s="2">
        <v>45897</v>
      </c>
      <c r="H867" t="s">
        <v>2524</v>
      </c>
      <c r="I867" s="7">
        <f t="shared" si="108"/>
        <v>-3</v>
      </c>
      <c r="J867" s="7" t="s">
        <v>2802</v>
      </c>
      <c r="K867" t="s">
        <v>128</v>
      </c>
      <c r="L867" t="s">
        <v>37</v>
      </c>
      <c r="M867" t="s">
        <v>54</v>
      </c>
      <c r="N867" t="s">
        <v>247</v>
      </c>
      <c r="O867" t="s">
        <v>248</v>
      </c>
      <c r="P867" t="s">
        <v>41</v>
      </c>
      <c r="Q867" t="s">
        <v>57</v>
      </c>
      <c r="R867" t="s">
        <v>2525</v>
      </c>
      <c r="S867" t="s">
        <v>50</v>
      </c>
      <c r="T867">
        <v>7</v>
      </c>
      <c r="U867">
        <v>977.28</v>
      </c>
      <c r="V867">
        <v>0.2</v>
      </c>
      <c r="W867">
        <v>0.2</v>
      </c>
      <c r="X867">
        <v>5472.77</v>
      </c>
      <c r="Y867">
        <f t="shared" si="104"/>
        <v>5472.77</v>
      </c>
      <c r="Z867">
        <v>4477.33</v>
      </c>
      <c r="AA867">
        <v>995.44</v>
      </c>
      <c r="AB867">
        <f t="shared" si="109"/>
        <v>995.44000000000051</v>
      </c>
      <c r="AC867" s="8">
        <f t="shared" si="110"/>
        <v>0.18188960983194991</v>
      </c>
      <c r="AD867" t="s">
        <v>32</v>
      </c>
      <c r="AE867" t="s">
        <v>33</v>
      </c>
      <c r="AF867" t="str">
        <f t="shared" si="111"/>
        <v>Perfect Match</v>
      </c>
    </row>
    <row r="868" spans="1:32">
      <c r="A868" s="6" t="str">
        <f>IF(OR(I868&lt;0, ISTEXT(W868), ISTEXT(Y868)), "Invalid", IF(OR(B868="Conflicting Duplicate", M868="Unknown", S868="Unknown"), "Warning", "Valid"))</f>
        <v>Warning</v>
      </c>
      <c r="B868" t="str">
        <f t="shared" si="105"/>
        <v>-</v>
      </c>
      <c r="C868" t="s">
        <v>2526</v>
      </c>
      <c r="D868" s="2">
        <v>45833</v>
      </c>
      <c r="E868" t="str">
        <f t="shared" si="106"/>
        <v>June</v>
      </c>
      <c r="F868">
        <f t="shared" si="107"/>
        <v>2025</v>
      </c>
      <c r="G868" s="2">
        <v>45833</v>
      </c>
      <c r="H868" t="s">
        <v>2527</v>
      </c>
      <c r="I868">
        <f t="shared" si="108"/>
        <v>0</v>
      </c>
      <c r="J868" t="s">
        <v>2795</v>
      </c>
      <c r="K868" t="s">
        <v>53</v>
      </c>
      <c r="L868" t="s">
        <v>37</v>
      </c>
      <c r="M868" s="4" t="s">
        <v>2790</v>
      </c>
      <c r="N868" t="s">
        <v>122</v>
      </c>
      <c r="O868" t="s">
        <v>123</v>
      </c>
      <c r="P868" t="s">
        <v>28</v>
      </c>
      <c r="Q868" t="s">
        <v>153</v>
      </c>
      <c r="R868" t="s">
        <v>2528</v>
      </c>
      <c r="S868" t="s">
        <v>31</v>
      </c>
      <c r="T868">
        <v>6</v>
      </c>
      <c r="U868">
        <v>1366.13</v>
      </c>
      <c r="V868">
        <v>0.1</v>
      </c>
      <c r="W868">
        <v>0.1</v>
      </c>
      <c r="X868">
        <v>7377.1</v>
      </c>
      <c r="Y868">
        <f t="shared" si="104"/>
        <v>7377.1</v>
      </c>
      <c r="Z868">
        <v>5085.21</v>
      </c>
      <c r="AA868">
        <v>2291.89</v>
      </c>
      <c r="AB868">
        <f t="shared" si="109"/>
        <v>2291.8900000000003</v>
      </c>
      <c r="AC868" s="8">
        <f t="shared" si="110"/>
        <v>0.31067628200783509</v>
      </c>
      <c r="AD868" t="s">
        <v>32</v>
      </c>
      <c r="AE868" t="s">
        <v>33</v>
      </c>
      <c r="AF868" t="str">
        <f t="shared" si="111"/>
        <v>Perfect Match</v>
      </c>
    </row>
    <row r="869" spans="1:32">
      <c r="A869" t="str">
        <f>IF(OR(I869&lt;0, ISTEXT(W869), ISTEXT(Y869)), "Invalid", IF(OR(B869="Conflicting Duplicate", M869="Unknown", S869="Unknown"), "Warning", "Valid"))</f>
        <v>Valid</v>
      </c>
      <c r="B869" t="str">
        <f t="shared" si="105"/>
        <v>-</v>
      </c>
      <c r="C869" t="s">
        <v>2537</v>
      </c>
      <c r="D869" s="2">
        <v>45753</v>
      </c>
      <c r="E869" t="str">
        <f t="shared" si="106"/>
        <v>April</v>
      </c>
      <c r="F869">
        <f t="shared" si="107"/>
        <v>2025</v>
      </c>
      <c r="G869" s="2">
        <v>45757</v>
      </c>
      <c r="H869" t="s">
        <v>2538</v>
      </c>
      <c r="I869">
        <f t="shared" si="108"/>
        <v>4</v>
      </c>
      <c r="J869" t="s">
        <v>2795</v>
      </c>
      <c r="K869" t="s">
        <v>141</v>
      </c>
      <c r="L869" t="s">
        <v>24</v>
      </c>
      <c r="M869" t="s">
        <v>38</v>
      </c>
      <c r="N869" t="s">
        <v>39</v>
      </c>
      <c r="O869" t="s">
        <v>40</v>
      </c>
      <c r="P869" t="s">
        <v>41</v>
      </c>
      <c r="Q869" t="s">
        <v>158</v>
      </c>
      <c r="R869" t="s">
        <v>1134</v>
      </c>
      <c r="S869" t="s">
        <v>59</v>
      </c>
      <c r="T869">
        <v>2</v>
      </c>
      <c r="U869">
        <v>1337.67</v>
      </c>
      <c r="V869">
        <v>0</v>
      </c>
      <c r="W869">
        <v>0</v>
      </c>
      <c r="X869">
        <v>2675.34</v>
      </c>
      <c r="Y869">
        <f t="shared" si="104"/>
        <v>2675.34</v>
      </c>
      <c r="Z869">
        <v>1595.87</v>
      </c>
      <c r="AA869">
        <v>1079.47</v>
      </c>
      <c r="AB869">
        <f t="shared" si="109"/>
        <v>1079.4700000000003</v>
      </c>
      <c r="AC869" s="8">
        <f t="shared" si="110"/>
        <v>0.40348890234512258</v>
      </c>
      <c r="AD869" t="s">
        <v>32</v>
      </c>
      <c r="AE869" t="s">
        <v>33</v>
      </c>
      <c r="AF869" t="str">
        <f t="shared" si="111"/>
        <v>Perfect Match</v>
      </c>
    </row>
    <row r="870" spans="1:32">
      <c r="A870" t="str">
        <f>IF(OR(I870&lt;0, ISTEXT(W870), ISTEXT(Y870)), "Invalid", IF(OR(B870="Conflicting Duplicate", M870="Unknown", S870="Unknown"), "Warning", "Valid"))</f>
        <v>Valid</v>
      </c>
      <c r="B870" t="str">
        <f t="shared" si="105"/>
        <v>-</v>
      </c>
      <c r="C870" t="s">
        <v>2539</v>
      </c>
      <c r="D870" s="2">
        <v>45875</v>
      </c>
      <c r="E870" t="str">
        <f t="shared" si="106"/>
        <v>August</v>
      </c>
      <c r="F870">
        <f t="shared" si="107"/>
        <v>2025</v>
      </c>
      <c r="G870" s="2">
        <v>45880</v>
      </c>
      <c r="H870" t="s">
        <v>2540</v>
      </c>
      <c r="I870">
        <f t="shared" si="108"/>
        <v>5</v>
      </c>
      <c r="J870" t="s">
        <v>2795</v>
      </c>
      <c r="K870" t="s">
        <v>53</v>
      </c>
      <c r="L870" t="s">
        <v>24</v>
      </c>
      <c r="M870" t="s">
        <v>63</v>
      </c>
      <c r="N870" t="s">
        <v>72</v>
      </c>
      <c r="O870" t="s">
        <v>73</v>
      </c>
      <c r="P870" t="s">
        <v>28</v>
      </c>
      <c r="Q870" t="s">
        <v>91</v>
      </c>
      <c r="R870" t="s">
        <v>2541</v>
      </c>
      <c r="S870" t="s">
        <v>50</v>
      </c>
      <c r="T870">
        <v>2</v>
      </c>
      <c r="U870">
        <v>2375.94</v>
      </c>
      <c r="V870">
        <v>0.25</v>
      </c>
      <c r="W870">
        <v>0.25</v>
      </c>
      <c r="X870">
        <v>3563.91</v>
      </c>
      <c r="Y870">
        <f t="shared" si="104"/>
        <v>3563.91</v>
      </c>
      <c r="Z870">
        <v>2639.7</v>
      </c>
      <c r="AA870">
        <v>924.21</v>
      </c>
      <c r="AB870">
        <f t="shared" si="109"/>
        <v>924.21</v>
      </c>
      <c r="AC870" s="8">
        <f t="shared" si="110"/>
        <v>0.25932473042248544</v>
      </c>
      <c r="AD870" t="s">
        <v>32</v>
      </c>
      <c r="AE870" t="s">
        <v>33</v>
      </c>
      <c r="AF870" t="str">
        <f t="shared" si="111"/>
        <v>Perfect Match</v>
      </c>
    </row>
    <row r="871" spans="1:32">
      <c r="A871" t="str">
        <f>IF(OR(I871&lt;0, ISTEXT(W871), ISTEXT(Y871)), "Invalid", IF(OR(B871="Conflicting Duplicate", M871="Unknown", S871="Unknown"), "Warning", "Valid"))</f>
        <v>Valid</v>
      </c>
      <c r="B871" t="str">
        <f t="shared" si="105"/>
        <v>-</v>
      </c>
      <c r="C871" t="s">
        <v>2548</v>
      </c>
      <c r="D871" s="2">
        <v>45752</v>
      </c>
      <c r="E871" t="str">
        <f t="shared" si="106"/>
        <v>April</v>
      </c>
      <c r="F871">
        <f t="shared" si="107"/>
        <v>2025</v>
      </c>
      <c r="G871" s="2">
        <v>45752</v>
      </c>
      <c r="H871" t="s">
        <v>2549</v>
      </c>
      <c r="I871">
        <f t="shared" si="108"/>
        <v>0</v>
      </c>
      <c r="J871" t="s">
        <v>2795</v>
      </c>
      <c r="K871" t="s">
        <v>132</v>
      </c>
      <c r="L871" t="s">
        <v>24</v>
      </c>
      <c r="M871" t="s">
        <v>38</v>
      </c>
      <c r="N871" t="s">
        <v>145</v>
      </c>
      <c r="O871" t="s">
        <v>146</v>
      </c>
      <c r="P871" t="s">
        <v>28</v>
      </c>
      <c r="Q871" t="s">
        <v>153</v>
      </c>
      <c r="R871" t="s">
        <v>2550</v>
      </c>
      <c r="S871" t="s">
        <v>59</v>
      </c>
      <c r="T871">
        <v>6</v>
      </c>
      <c r="U871">
        <v>1829.69</v>
      </c>
      <c r="V871">
        <v>0.25</v>
      </c>
      <c r="W871">
        <v>0.25</v>
      </c>
      <c r="X871">
        <v>8233.6</v>
      </c>
      <c r="Y871">
        <f t="shared" si="104"/>
        <v>8233.61</v>
      </c>
      <c r="Z871">
        <v>4713.79</v>
      </c>
      <c r="AA871">
        <v>3519.81</v>
      </c>
      <c r="AB871">
        <f t="shared" si="109"/>
        <v>3519.8200000000006</v>
      </c>
      <c r="AC871" s="8">
        <f t="shared" si="110"/>
        <v>0.42749413683669746</v>
      </c>
      <c r="AD871" t="s">
        <v>32</v>
      </c>
      <c r="AE871" t="s">
        <v>33</v>
      </c>
      <c r="AF871" t="str">
        <f t="shared" si="111"/>
        <v>Mismatch Found</v>
      </c>
    </row>
    <row r="872" spans="1:32">
      <c r="A872" t="str">
        <f>IF(OR(I872&lt;0, ISTEXT(W872), ISTEXT(Y872)), "Invalid", IF(OR(B872="Conflicting Duplicate", M872="Unknown", S872="Unknown"), "Warning", "Valid"))</f>
        <v>Valid</v>
      </c>
      <c r="B872" t="str">
        <f t="shared" si="105"/>
        <v>-</v>
      </c>
      <c r="C872" t="s">
        <v>2558</v>
      </c>
      <c r="D872" s="2">
        <v>45810</v>
      </c>
      <c r="E872" t="str">
        <f t="shared" si="106"/>
        <v>June</v>
      </c>
      <c r="F872">
        <f t="shared" si="107"/>
        <v>2025</v>
      </c>
      <c r="G872" s="2">
        <v>45932</v>
      </c>
      <c r="H872" t="s">
        <v>2559</v>
      </c>
      <c r="I872">
        <f t="shared" si="108"/>
        <v>122</v>
      </c>
      <c r="J872" t="s">
        <v>2795</v>
      </c>
      <c r="K872" t="s">
        <v>62</v>
      </c>
      <c r="L872" t="s">
        <v>95</v>
      </c>
      <c r="M872" t="s">
        <v>25</v>
      </c>
      <c r="N872" t="s">
        <v>136</v>
      </c>
      <c r="O872" t="s">
        <v>137</v>
      </c>
      <c r="P872" t="s">
        <v>41</v>
      </c>
      <c r="Q872" t="s">
        <v>158</v>
      </c>
      <c r="R872" t="s">
        <v>2560</v>
      </c>
      <c r="S872" t="s">
        <v>59</v>
      </c>
      <c r="T872">
        <v>2</v>
      </c>
      <c r="U872">
        <v>319.57</v>
      </c>
      <c r="V872">
        <v>0.2</v>
      </c>
      <c r="W872">
        <v>0.2</v>
      </c>
      <c r="X872">
        <v>511.31</v>
      </c>
      <c r="Y872">
        <f t="shared" si="104"/>
        <v>511.31</v>
      </c>
      <c r="Z872">
        <v>436.43</v>
      </c>
      <c r="AA872">
        <v>74.88</v>
      </c>
      <c r="AB872">
        <f t="shared" si="109"/>
        <v>74.88</v>
      </c>
      <c r="AC872" s="8">
        <f t="shared" si="110"/>
        <v>0.14644736070094463</v>
      </c>
      <c r="AD872" t="s">
        <v>32</v>
      </c>
      <c r="AE872" t="s">
        <v>33</v>
      </c>
      <c r="AF872" t="str">
        <f t="shared" si="111"/>
        <v>Perfect Match</v>
      </c>
    </row>
    <row r="873" spans="1:32">
      <c r="A873" t="str">
        <f>IF(OR(I873&lt;0, ISTEXT(W873), ISTEXT(Y873)), "Invalid", IF(OR(B873="Conflicting Duplicate", M873="Unknown", S873="Unknown"), "Warning", "Valid"))</f>
        <v>Valid</v>
      </c>
      <c r="B873" t="str">
        <f t="shared" si="105"/>
        <v>-</v>
      </c>
      <c r="C873" t="s">
        <v>2567</v>
      </c>
      <c r="D873" s="2">
        <v>45663</v>
      </c>
      <c r="E873" t="str">
        <f t="shared" si="106"/>
        <v>January</v>
      </c>
      <c r="F873">
        <f t="shared" si="107"/>
        <v>2025</v>
      </c>
      <c r="G873" s="2">
        <v>45669</v>
      </c>
      <c r="H873" t="s">
        <v>2568</v>
      </c>
      <c r="I873">
        <f t="shared" si="108"/>
        <v>6</v>
      </c>
      <c r="J873" t="s">
        <v>2795</v>
      </c>
      <c r="K873" t="s">
        <v>36</v>
      </c>
      <c r="L873" t="s">
        <v>95</v>
      </c>
      <c r="M873" t="s">
        <v>63</v>
      </c>
      <c r="N873" t="s">
        <v>190</v>
      </c>
      <c r="O873" t="s">
        <v>191</v>
      </c>
      <c r="P873" t="s">
        <v>28</v>
      </c>
      <c r="Q873" t="s">
        <v>29</v>
      </c>
      <c r="R873" t="s">
        <v>2569</v>
      </c>
      <c r="S873" t="s">
        <v>44</v>
      </c>
      <c r="T873">
        <v>3</v>
      </c>
      <c r="U873">
        <v>668.33</v>
      </c>
      <c r="V873">
        <v>0.15</v>
      </c>
      <c r="W873">
        <v>0.15</v>
      </c>
      <c r="X873">
        <v>1704.24</v>
      </c>
      <c r="Y873">
        <f t="shared" si="104"/>
        <v>1704.24</v>
      </c>
      <c r="Z873">
        <v>957.55</v>
      </c>
      <c r="AA873">
        <v>746.69</v>
      </c>
      <c r="AB873">
        <f t="shared" si="109"/>
        <v>746.69</v>
      </c>
      <c r="AC873" s="8">
        <f t="shared" si="110"/>
        <v>0.43813664742055114</v>
      </c>
      <c r="AD873" t="s">
        <v>32</v>
      </c>
      <c r="AE873" t="s">
        <v>33</v>
      </c>
      <c r="AF873" t="str">
        <f t="shared" si="111"/>
        <v>Perfect Match</v>
      </c>
    </row>
    <row r="874" spans="1:32">
      <c r="A874" t="str">
        <f>IF(OR(I874&lt;0, ISTEXT(W874), ISTEXT(Y874)), "Invalid", IF(OR(B874="Conflicting Duplicate", M874="Unknown", S874="Unknown"), "Warning", "Valid"))</f>
        <v>Valid</v>
      </c>
      <c r="B874" t="str">
        <f t="shared" si="105"/>
        <v>-</v>
      </c>
      <c r="C874" t="s">
        <v>2570</v>
      </c>
      <c r="D874" s="2">
        <v>45737</v>
      </c>
      <c r="E874" t="str">
        <f t="shared" si="106"/>
        <v>March</v>
      </c>
      <c r="F874">
        <f t="shared" si="107"/>
        <v>2025</v>
      </c>
      <c r="G874" s="2">
        <v>45738</v>
      </c>
      <c r="H874" t="s">
        <v>2571</v>
      </c>
      <c r="I874">
        <f t="shared" si="108"/>
        <v>1</v>
      </c>
      <c r="J874" t="s">
        <v>2795</v>
      </c>
      <c r="K874" t="s">
        <v>114</v>
      </c>
      <c r="L874" t="s">
        <v>24</v>
      </c>
      <c r="M874" t="s">
        <v>63</v>
      </c>
      <c r="N874" t="s">
        <v>190</v>
      </c>
      <c r="O874" t="s">
        <v>191</v>
      </c>
      <c r="P874" t="s">
        <v>28</v>
      </c>
      <c r="Q874" t="s">
        <v>29</v>
      </c>
      <c r="R874" t="s">
        <v>2572</v>
      </c>
      <c r="S874" t="s">
        <v>50</v>
      </c>
      <c r="T874">
        <v>8</v>
      </c>
      <c r="U874">
        <v>4436.74</v>
      </c>
      <c r="V874">
        <v>0.05</v>
      </c>
      <c r="W874">
        <v>0.05</v>
      </c>
      <c r="X874">
        <v>33719.22</v>
      </c>
      <c r="Y874">
        <f t="shared" si="104"/>
        <v>33719.22</v>
      </c>
      <c r="Z874">
        <v>28924.43</v>
      </c>
      <c r="AA874">
        <v>4794.79</v>
      </c>
      <c r="AB874">
        <f t="shared" si="109"/>
        <v>4794.7900000000009</v>
      </c>
      <c r="AC874" s="8">
        <f t="shared" si="110"/>
        <v>0.14219753600468815</v>
      </c>
      <c r="AD874" t="s">
        <v>32</v>
      </c>
      <c r="AE874" t="s">
        <v>33</v>
      </c>
      <c r="AF874" t="str">
        <f t="shared" si="111"/>
        <v>Perfect Match</v>
      </c>
    </row>
    <row r="875" spans="1:32">
      <c r="A875" t="str">
        <f>IF(OR(I875&lt;0, ISTEXT(W875), ISTEXT(Y875)), "Invalid", IF(OR(B875="Conflicting Duplicate", M875="Unknown", S875="Unknown"), "Warning", "Valid"))</f>
        <v>Valid</v>
      </c>
      <c r="B875" t="str">
        <f t="shared" si="105"/>
        <v>-</v>
      </c>
      <c r="C875" t="s">
        <v>2573</v>
      </c>
      <c r="D875" s="2">
        <v>45763</v>
      </c>
      <c r="E875" t="str">
        <f t="shared" si="106"/>
        <v>April</v>
      </c>
      <c r="F875">
        <f t="shared" si="107"/>
        <v>2025</v>
      </c>
      <c r="G875" s="2">
        <v>45764</v>
      </c>
      <c r="H875" t="s">
        <v>2574</v>
      </c>
      <c r="I875">
        <f t="shared" si="108"/>
        <v>1</v>
      </c>
      <c r="J875" t="s">
        <v>2795</v>
      </c>
      <c r="K875" t="s">
        <v>71</v>
      </c>
      <c r="L875" t="s">
        <v>37</v>
      </c>
      <c r="M875" t="s">
        <v>25</v>
      </c>
      <c r="N875" t="s">
        <v>136</v>
      </c>
      <c r="O875" t="s">
        <v>137</v>
      </c>
      <c r="P875" t="s">
        <v>74</v>
      </c>
      <c r="Q875" t="s">
        <v>274</v>
      </c>
      <c r="R875" t="s">
        <v>2575</v>
      </c>
      <c r="S875" t="s">
        <v>50</v>
      </c>
      <c r="T875">
        <v>1</v>
      </c>
      <c r="U875">
        <v>2720.17</v>
      </c>
      <c r="V875">
        <v>0</v>
      </c>
      <c r="W875">
        <v>0</v>
      </c>
      <c r="X875">
        <v>2720.17</v>
      </c>
      <c r="Y875">
        <f t="shared" si="104"/>
        <v>2720.17</v>
      </c>
      <c r="Z875">
        <v>1834.23</v>
      </c>
      <c r="AA875">
        <v>885.94</v>
      </c>
      <c r="AB875">
        <f t="shared" si="109"/>
        <v>885.94</v>
      </c>
      <c r="AC875" s="8">
        <f t="shared" si="110"/>
        <v>0.3256928794891496</v>
      </c>
      <c r="AD875" t="s">
        <v>32</v>
      </c>
      <c r="AE875" t="s">
        <v>33</v>
      </c>
      <c r="AF875" t="str">
        <f t="shared" si="111"/>
        <v>Perfect Match</v>
      </c>
    </row>
    <row r="876" spans="1:32">
      <c r="A876" t="str">
        <f>IF(OR(I876&lt;0, ISTEXT(W876), ISTEXT(Y876)), "Invalid", IF(OR(B876="Conflicting Duplicate", M876="Unknown", S876="Unknown"), "Warning", "Valid"))</f>
        <v>Valid</v>
      </c>
      <c r="B876" t="str">
        <f t="shared" si="105"/>
        <v>-</v>
      </c>
      <c r="C876" t="s">
        <v>2576</v>
      </c>
      <c r="D876" s="2">
        <v>45879</v>
      </c>
      <c r="E876" t="str">
        <f t="shared" si="106"/>
        <v>August</v>
      </c>
      <c r="F876">
        <f t="shared" si="107"/>
        <v>2025</v>
      </c>
      <c r="G876" s="2">
        <v>45883</v>
      </c>
      <c r="H876" t="s">
        <v>2577</v>
      </c>
      <c r="I876">
        <f t="shared" si="108"/>
        <v>4</v>
      </c>
      <c r="J876" t="s">
        <v>2795</v>
      </c>
      <c r="K876" t="s">
        <v>89</v>
      </c>
      <c r="L876" t="s">
        <v>24</v>
      </c>
      <c r="M876" t="s">
        <v>63</v>
      </c>
      <c r="N876" t="s">
        <v>26</v>
      </c>
      <c r="O876" t="s">
        <v>109</v>
      </c>
      <c r="P876" t="s">
        <v>74</v>
      </c>
      <c r="Q876" t="s">
        <v>75</v>
      </c>
      <c r="R876" t="s">
        <v>2578</v>
      </c>
      <c r="S876" t="s">
        <v>59</v>
      </c>
      <c r="T876">
        <v>5</v>
      </c>
      <c r="U876">
        <v>2190.14</v>
      </c>
      <c r="V876">
        <v>0.25</v>
      </c>
      <c r="W876">
        <v>0.25</v>
      </c>
      <c r="X876">
        <v>8213.02</v>
      </c>
      <c r="Y876">
        <f t="shared" si="104"/>
        <v>8213.0300000000007</v>
      </c>
      <c r="Z876">
        <v>5569.3</v>
      </c>
      <c r="AA876">
        <v>2643.72</v>
      </c>
      <c r="AB876">
        <f t="shared" si="109"/>
        <v>2643.7300000000005</v>
      </c>
      <c r="AC876" s="8">
        <f t="shared" si="110"/>
        <v>0.32189459919177216</v>
      </c>
      <c r="AD876" t="s">
        <v>32</v>
      </c>
      <c r="AE876" t="s">
        <v>33</v>
      </c>
      <c r="AF876" t="str">
        <f t="shared" si="111"/>
        <v>Mismatch Found</v>
      </c>
    </row>
    <row r="877" spans="1:32">
      <c r="A877" t="str">
        <f>IF(OR(I877&lt;0, ISTEXT(W877), ISTEXT(Y877)), "Invalid", IF(OR(B877="Conflicting Duplicate", M877="Unknown", S877="Unknown"), "Warning", "Valid"))</f>
        <v>Valid</v>
      </c>
      <c r="B877" t="str">
        <f t="shared" si="105"/>
        <v>-</v>
      </c>
      <c r="C877" t="s">
        <v>2582</v>
      </c>
      <c r="D877" s="2">
        <v>45940</v>
      </c>
      <c r="E877" t="str">
        <f t="shared" si="106"/>
        <v>October</v>
      </c>
      <c r="F877">
        <f t="shared" si="107"/>
        <v>2025</v>
      </c>
      <c r="G877" s="2">
        <v>45971</v>
      </c>
      <c r="H877" t="s">
        <v>2583</v>
      </c>
      <c r="I877">
        <f t="shared" si="108"/>
        <v>31</v>
      </c>
      <c r="J877" t="s">
        <v>2795</v>
      </c>
      <c r="K877" t="s">
        <v>23</v>
      </c>
      <c r="L877" t="s">
        <v>90</v>
      </c>
      <c r="M877" t="s">
        <v>38</v>
      </c>
      <c r="N877" t="s">
        <v>39</v>
      </c>
      <c r="O877" t="s">
        <v>40</v>
      </c>
      <c r="P877" t="s">
        <v>41</v>
      </c>
      <c r="Q877" t="s">
        <v>66</v>
      </c>
      <c r="R877" t="s">
        <v>2584</v>
      </c>
      <c r="S877" t="s">
        <v>31</v>
      </c>
      <c r="T877">
        <v>7</v>
      </c>
      <c r="U877">
        <v>3791.96</v>
      </c>
      <c r="V877">
        <v>0.05</v>
      </c>
      <c r="W877">
        <v>0.05</v>
      </c>
      <c r="X877">
        <v>25216.53</v>
      </c>
      <c r="Y877">
        <f t="shared" si="104"/>
        <v>25216.53</v>
      </c>
      <c r="Z877">
        <v>14216.94</v>
      </c>
      <c r="AA877">
        <v>10999.59</v>
      </c>
      <c r="AB877">
        <f t="shared" si="109"/>
        <v>10999.589999999998</v>
      </c>
      <c r="AC877" s="8">
        <f t="shared" si="110"/>
        <v>0.43620553660634509</v>
      </c>
      <c r="AD877" t="s">
        <v>155</v>
      </c>
      <c r="AE877" t="s">
        <v>68</v>
      </c>
      <c r="AF877" t="str">
        <f t="shared" si="111"/>
        <v>Perfect Match</v>
      </c>
    </row>
    <row r="878" spans="1:32">
      <c r="A878" s="6" t="str">
        <f>IF(OR(I878&lt;0, ISTEXT(W878), ISTEXT(Y878)), "Invalid", IF(OR(B878="Conflicting Duplicate", M878="Unknown", S878="Unknown"), "Warning", "Valid"))</f>
        <v>Warning</v>
      </c>
      <c r="B878" t="str">
        <f t="shared" si="105"/>
        <v>-</v>
      </c>
      <c r="C878" t="s">
        <v>2588</v>
      </c>
      <c r="D878" s="2">
        <v>45853</v>
      </c>
      <c r="E878" t="str">
        <f t="shared" si="106"/>
        <v>July</v>
      </c>
      <c r="F878">
        <f t="shared" si="107"/>
        <v>2025</v>
      </c>
      <c r="G878" s="2">
        <v>45856</v>
      </c>
      <c r="H878" t="s">
        <v>2589</v>
      </c>
      <c r="I878">
        <f t="shared" si="108"/>
        <v>3</v>
      </c>
      <c r="J878" t="s">
        <v>2795</v>
      </c>
      <c r="K878" t="s">
        <v>89</v>
      </c>
      <c r="L878" t="s">
        <v>37</v>
      </c>
      <c r="M878" s="4" t="s">
        <v>2790</v>
      </c>
      <c r="N878" t="s">
        <v>247</v>
      </c>
      <c r="O878" t="s">
        <v>248</v>
      </c>
      <c r="P878" t="s">
        <v>74</v>
      </c>
      <c r="Q878" t="s">
        <v>274</v>
      </c>
      <c r="R878" t="s">
        <v>2590</v>
      </c>
      <c r="S878" t="s">
        <v>50</v>
      </c>
      <c r="T878">
        <v>6</v>
      </c>
      <c r="U878">
        <v>2382.88</v>
      </c>
      <c r="V878">
        <v>0.1</v>
      </c>
      <c r="W878">
        <v>0.1</v>
      </c>
      <c r="X878">
        <v>12867.55</v>
      </c>
      <c r="Y878">
        <f t="shared" si="104"/>
        <v>12867.55</v>
      </c>
      <c r="Z878">
        <v>10068.94</v>
      </c>
      <c r="AA878">
        <v>2798.61</v>
      </c>
      <c r="AB878">
        <f t="shared" si="109"/>
        <v>2798.6099999999988</v>
      </c>
      <c r="AC878" s="8">
        <f t="shared" si="110"/>
        <v>0.21749361766614458</v>
      </c>
      <c r="AD878" t="s">
        <v>32</v>
      </c>
      <c r="AE878" t="s">
        <v>33</v>
      </c>
      <c r="AF878" t="str">
        <f t="shared" si="111"/>
        <v>Perfect Match</v>
      </c>
    </row>
    <row r="879" spans="1:32">
      <c r="A879" s="6" t="str">
        <f>IF(OR(I879&lt;0, ISTEXT(W879), ISTEXT(Y879)), "Invalid", IF(OR(B879="Conflicting Duplicate", M879="Unknown", S879="Unknown"), "Warning", "Valid"))</f>
        <v>Invalid</v>
      </c>
      <c r="B879" t="str">
        <f t="shared" si="105"/>
        <v>-</v>
      </c>
      <c r="C879" t="s">
        <v>2591</v>
      </c>
      <c r="D879" s="2">
        <v>45750</v>
      </c>
      <c r="E879" t="str">
        <f t="shared" si="106"/>
        <v>April</v>
      </c>
      <c r="F879">
        <f t="shared" si="107"/>
        <v>2025</v>
      </c>
      <c r="G879" s="2">
        <v>45720</v>
      </c>
      <c r="H879" t="s">
        <v>2592</v>
      </c>
      <c r="I879" s="7">
        <f t="shared" si="108"/>
        <v>-30</v>
      </c>
      <c r="J879" s="7" t="s">
        <v>2802</v>
      </c>
      <c r="K879" t="s">
        <v>162</v>
      </c>
      <c r="L879" t="s">
        <v>95</v>
      </c>
      <c r="M879" s="4" t="s">
        <v>2790</v>
      </c>
      <c r="N879" t="s">
        <v>236</v>
      </c>
      <c r="O879" t="s">
        <v>237</v>
      </c>
      <c r="P879" t="s">
        <v>41</v>
      </c>
      <c r="Q879" t="s">
        <v>66</v>
      </c>
      <c r="R879" t="s">
        <v>2593</v>
      </c>
      <c r="S879" t="s">
        <v>50</v>
      </c>
      <c r="T879">
        <v>9</v>
      </c>
      <c r="U879">
        <v>3462.7</v>
      </c>
      <c r="V879">
        <v>0.15</v>
      </c>
      <c r="W879">
        <v>0.15</v>
      </c>
      <c r="X879">
        <v>26489.65</v>
      </c>
      <c r="Y879">
        <f t="shared" si="104"/>
        <v>26489.66</v>
      </c>
      <c r="Z879">
        <v>15818.46</v>
      </c>
      <c r="AA879">
        <v>10671.19</v>
      </c>
      <c r="AB879">
        <f t="shared" si="109"/>
        <v>10671.2</v>
      </c>
      <c r="AC879" s="8">
        <f t="shared" si="110"/>
        <v>0.40284397761239671</v>
      </c>
      <c r="AD879" t="s">
        <v>155</v>
      </c>
      <c r="AE879" t="s">
        <v>103</v>
      </c>
      <c r="AF879" t="str">
        <f t="shared" si="111"/>
        <v>Mismatch Found</v>
      </c>
    </row>
    <row r="880" spans="1:32">
      <c r="A880" t="str">
        <f>IF(OR(I880&lt;0, ISTEXT(W880), ISTEXT(Y880)), "Invalid", IF(OR(B880="Conflicting Duplicate", M880="Unknown", S880="Unknown"), "Warning", "Valid"))</f>
        <v>Valid</v>
      </c>
      <c r="B880" t="str">
        <f t="shared" si="105"/>
        <v>-</v>
      </c>
      <c r="C880" t="s">
        <v>2594</v>
      </c>
      <c r="D880" s="2">
        <v>45803</v>
      </c>
      <c r="E880" t="str">
        <f t="shared" si="106"/>
        <v>May</v>
      </c>
      <c r="F880">
        <f t="shared" si="107"/>
        <v>2025</v>
      </c>
      <c r="G880" s="2">
        <v>45805</v>
      </c>
      <c r="H880" t="s">
        <v>2595</v>
      </c>
      <c r="I880">
        <f t="shared" si="108"/>
        <v>2</v>
      </c>
      <c r="J880" t="s">
        <v>2795</v>
      </c>
      <c r="K880" t="s">
        <v>264</v>
      </c>
      <c r="L880" t="s">
        <v>37</v>
      </c>
      <c r="M880" t="s">
        <v>54</v>
      </c>
      <c r="N880" t="s">
        <v>84</v>
      </c>
      <c r="O880" t="s">
        <v>85</v>
      </c>
      <c r="P880" t="s">
        <v>74</v>
      </c>
      <c r="Q880" t="s">
        <v>171</v>
      </c>
      <c r="R880" t="s">
        <v>2596</v>
      </c>
      <c r="S880" t="s">
        <v>31</v>
      </c>
      <c r="T880">
        <v>9</v>
      </c>
      <c r="U880">
        <v>4302.0200000000004</v>
      </c>
      <c r="V880">
        <v>0.05</v>
      </c>
      <c r="W880">
        <v>0.05</v>
      </c>
      <c r="X880">
        <v>36782.269999999997</v>
      </c>
      <c r="Y880">
        <f t="shared" si="104"/>
        <v>36782.269999999997</v>
      </c>
      <c r="Z880">
        <v>25902.81</v>
      </c>
      <c r="AA880">
        <v>10879.46</v>
      </c>
      <c r="AB880">
        <f t="shared" si="109"/>
        <v>10879.459999999995</v>
      </c>
      <c r="AC880" s="8">
        <f t="shared" si="110"/>
        <v>0.29578000487734979</v>
      </c>
      <c r="AD880" t="s">
        <v>32</v>
      </c>
      <c r="AE880" t="s">
        <v>33</v>
      </c>
      <c r="AF880" t="str">
        <f t="shared" si="111"/>
        <v>Perfect Match</v>
      </c>
    </row>
    <row r="881" spans="1:32">
      <c r="A881" s="6" t="str">
        <f>IF(OR(I881&lt;0, ISTEXT(W881), ISTEXT(Y881)), "Invalid", IF(OR(B881="Conflicting Duplicate", M881="Unknown", S881="Unknown"), "Warning", "Valid"))</f>
        <v>Invalid</v>
      </c>
      <c r="B881" t="str">
        <f t="shared" si="105"/>
        <v>-</v>
      </c>
      <c r="C881" t="s">
        <v>2603</v>
      </c>
      <c r="D881" s="2">
        <v>45926</v>
      </c>
      <c r="E881" t="str">
        <f t="shared" si="106"/>
        <v>September</v>
      </c>
      <c r="F881">
        <f t="shared" si="107"/>
        <v>2025</v>
      </c>
      <c r="G881" s="2">
        <v>45757</v>
      </c>
      <c r="H881" t="s">
        <v>2604</v>
      </c>
      <c r="I881" s="7">
        <f t="shared" si="108"/>
        <v>-169</v>
      </c>
      <c r="J881" s="7" t="s">
        <v>2802</v>
      </c>
      <c r="K881" t="s">
        <v>114</v>
      </c>
      <c r="L881" t="s">
        <v>37</v>
      </c>
      <c r="M881" t="s">
        <v>38</v>
      </c>
      <c r="N881" t="s">
        <v>166</v>
      </c>
      <c r="O881" t="s">
        <v>167</v>
      </c>
      <c r="P881" t="s">
        <v>74</v>
      </c>
      <c r="Q881" t="s">
        <v>171</v>
      </c>
      <c r="R881" t="s">
        <v>2605</v>
      </c>
      <c r="S881" t="s">
        <v>31</v>
      </c>
      <c r="T881">
        <v>7</v>
      </c>
      <c r="U881">
        <v>1509.59</v>
      </c>
      <c r="V881">
        <v>0.05</v>
      </c>
      <c r="W881">
        <v>0.05</v>
      </c>
      <c r="X881">
        <v>10038.77</v>
      </c>
      <c r="Y881">
        <f t="shared" si="104"/>
        <v>10038.77</v>
      </c>
      <c r="Z881">
        <v>5673.1</v>
      </c>
      <c r="AA881">
        <v>4365.67</v>
      </c>
      <c r="AB881">
        <f t="shared" si="109"/>
        <v>4365.67</v>
      </c>
      <c r="AC881" s="8">
        <f t="shared" si="110"/>
        <v>0.43488096649290697</v>
      </c>
      <c r="AD881" t="s">
        <v>32</v>
      </c>
      <c r="AE881" t="s">
        <v>33</v>
      </c>
      <c r="AF881" t="str">
        <f t="shared" si="111"/>
        <v>Perfect Match</v>
      </c>
    </row>
    <row r="882" spans="1:32">
      <c r="A882" t="str">
        <f>IF(OR(I882&lt;0, ISTEXT(W882), ISTEXT(Y882)), "Invalid", IF(OR(B882="Conflicting Duplicate", M882="Unknown", S882="Unknown"), "Warning", "Valid"))</f>
        <v>Valid</v>
      </c>
      <c r="B882" t="str">
        <f t="shared" si="105"/>
        <v>-</v>
      </c>
      <c r="C882" t="s">
        <v>2609</v>
      </c>
      <c r="D882" s="2">
        <v>45927</v>
      </c>
      <c r="E882" t="str">
        <f t="shared" si="106"/>
        <v>September</v>
      </c>
      <c r="F882">
        <f t="shared" si="107"/>
        <v>2025</v>
      </c>
      <c r="G882" s="2">
        <v>45928</v>
      </c>
      <c r="H882" t="s">
        <v>2610</v>
      </c>
      <c r="I882">
        <f t="shared" si="108"/>
        <v>1</v>
      </c>
      <c r="J882" t="s">
        <v>2795</v>
      </c>
      <c r="K882" t="s">
        <v>23</v>
      </c>
      <c r="L882" t="s">
        <v>95</v>
      </c>
      <c r="M882" t="s">
        <v>63</v>
      </c>
      <c r="N882" t="s">
        <v>64</v>
      </c>
      <c r="O882" t="s">
        <v>65</v>
      </c>
      <c r="P882" t="s">
        <v>28</v>
      </c>
      <c r="Q882" t="s">
        <v>29</v>
      </c>
      <c r="R882" t="s">
        <v>2611</v>
      </c>
      <c r="S882" t="s">
        <v>50</v>
      </c>
      <c r="T882">
        <v>3</v>
      </c>
      <c r="U882">
        <v>4177.63</v>
      </c>
      <c r="V882">
        <v>0.25</v>
      </c>
      <c r="W882">
        <v>0.25</v>
      </c>
      <c r="X882">
        <v>9399.67</v>
      </c>
      <c r="Y882">
        <f t="shared" si="104"/>
        <v>9399.67</v>
      </c>
      <c r="Z882">
        <v>6540.37</v>
      </c>
      <c r="AA882">
        <v>2859.3</v>
      </c>
      <c r="AB882">
        <f t="shared" si="109"/>
        <v>2859.3</v>
      </c>
      <c r="AC882" s="8">
        <f t="shared" si="110"/>
        <v>0.30419153012818539</v>
      </c>
      <c r="AD882" t="s">
        <v>32</v>
      </c>
      <c r="AE882" t="s">
        <v>33</v>
      </c>
      <c r="AF882" t="str">
        <f t="shared" si="111"/>
        <v>Perfect Match</v>
      </c>
    </row>
    <row r="883" spans="1:32">
      <c r="A883" t="str">
        <f>IF(OR(I883&lt;0, ISTEXT(W883), ISTEXT(Y883)), "Invalid", IF(OR(B883="Conflicting Duplicate", M883="Unknown", S883="Unknown"), "Warning", "Valid"))</f>
        <v>Valid</v>
      </c>
      <c r="B883" t="str">
        <f t="shared" si="105"/>
        <v>-</v>
      </c>
      <c r="C883" t="s">
        <v>2612</v>
      </c>
      <c r="D883" s="2">
        <v>45750</v>
      </c>
      <c r="E883" t="str">
        <f t="shared" si="106"/>
        <v>April</v>
      </c>
      <c r="F883">
        <f t="shared" si="107"/>
        <v>2025</v>
      </c>
      <c r="G883" s="2">
        <v>45754</v>
      </c>
      <c r="H883" t="s">
        <v>2613</v>
      </c>
      <c r="I883">
        <f t="shared" si="108"/>
        <v>4</v>
      </c>
      <c r="J883" t="s">
        <v>2795</v>
      </c>
      <c r="K883" t="s">
        <v>62</v>
      </c>
      <c r="L883" t="s">
        <v>37</v>
      </c>
      <c r="M883" t="s">
        <v>63</v>
      </c>
      <c r="N883" t="s">
        <v>190</v>
      </c>
      <c r="O883" t="s">
        <v>191</v>
      </c>
      <c r="P883" t="s">
        <v>28</v>
      </c>
      <c r="Q883" t="s">
        <v>29</v>
      </c>
      <c r="R883" t="s">
        <v>2614</v>
      </c>
      <c r="S883" t="s">
        <v>44</v>
      </c>
      <c r="T883">
        <v>1</v>
      </c>
      <c r="U883">
        <v>1470.57</v>
      </c>
      <c r="V883">
        <v>0</v>
      </c>
      <c r="W883">
        <v>0</v>
      </c>
      <c r="X883">
        <v>1470.57</v>
      </c>
      <c r="Y883">
        <f t="shared" si="104"/>
        <v>1470.57</v>
      </c>
      <c r="Z883">
        <v>834.02</v>
      </c>
      <c r="AA883">
        <v>636.54999999999995</v>
      </c>
      <c r="AB883">
        <f t="shared" si="109"/>
        <v>636.54999999999995</v>
      </c>
      <c r="AC883" s="8">
        <f t="shared" si="110"/>
        <v>0.43285936745615644</v>
      </c>
      <c r="AD883" t="s">
        <v>32</v>
      </c>
      <c r="AE883" t="s">
        <v>103</v>
      </c>
      <c r="AF883" t="str">
        <f t="shared" si="111"/>
        <v>Perfect Match</v>
      </c>
    </row>
    <row r="884" spans="1:32">
      <c r="A884" t="str">
        <f>IF(OR(I884&lt;0, ISTEXT(W884), ISTEXT(Y884)), "Invalid", IF(OR(B884="Conflicting Duplicate", M884="Unknown", S884="Unknown"), "Warning", "Valid"))</f>
        <v>Valid</v>
      </c>
      <c r="B884" t="str">
        <f t="shared" si="105"/>
        <v>-</v>
      </c>
      <c r="C884" t="s">
        <v>2618</v>
      </c>
      <c r="D884" s="2">
        <v>45919</v>
      </c>
      <c r="E884" t="str">
        <f t="shared" si="106"/>
        <v>September</v>
      </c>
      <c r="F884">
        <f t="shared" si="107"/>
        <v>2025</v>
      </c>
      <c r="G884" s="2">
        <v>45919</v>
      </c>
      <c r="H884" t="s">
        <v>2619</v>
      </c>
      <c r="I884">
        <f t="shared" si="108"/>
        <v>0</v>
      </c>
      <c r="J884" t="s">
        <v>2795</v>
      </c>
      <c r="K884" t="s">
        <v>79</v>
      </c>
      <c r="L884" t="s">
        <v>95</v>
      </c>
      <c r="M884" t="s">
        <v>25</v>
      </c>
      <c r="N884" t="s">
        <v>350</v>
      </c>
      <c r="O884" t="s">
        <v>351</v>
      </c>
      <c r="P884" t="s">
        <v>41</v>
      </c>
      <c r="Q884" t="s">
        <v>66</v>
      </c>
      <c r="R884" t="s">
        <v>2620</v>
      </c>
      <c r="S884" t="s">
        <v>44</v>
      </c>
      <c r="T884">
        <v>4</v>
      </c>
      <c r="U884">
        <v>1584.11</v>
      </c>
      <c r="V884">
        <v>0</v>
      </c>
      <c r="W884">
        <v>0</v>
      </c>
      <c r="X884">
        <v>6336.44</v>
      </c>
      <c r="Y884">
        <f t="shared" si="104"/>
        <v>6336.44</v>
      </c>
      <c r="Z884">
        <v>4680.68</v>
      </c>
      <c r="AA884">
        <v>1655.76</v>
      </c>
      <c r="AB884">
        <f t="shared" si="109"/>
        <v>1655.7599999999993</v>
      </c>
      <c r="AC884" s="8">
        <f t="shared" si="110"/>
        <v>0.26130761121386764</v>
      </c>
      <c r="AD884" t="s">
        <v>32</v>
      </c>
      <c r="AE884" t="s">
        <v>33</v>
      </c>
      <c r="AF884" t="str">
        <f t="shared" si="111"/>
        <v>Perfect Match</v>
      </c>
    </row>
    <row r="885" spans="1:32">
      <c r="A885" t="str">
        <f>IF(OR(I885&lt;0, ISTEXT(W885), ISTEXT(Y885)), "Invalid", IF(OR(B885="Conflicting Duplicate", M885="Unknown", S885="Unknown"), "Warning", "Valid"))</f>
        <v>Valid</v>
      </c>
      <c r="B885" t="str">
        <f t="shared" si="105"/>
        <v>-</v>
      </c>
      <c r="C885" t="s">
        <v>2621</v>
      </c>
      <c r="D885" s="2">
        <v>45694</v>
      </c>
      <c r="E885" t="str">
        <f t="shared" si="106"/>
        <v>February</v>
      </c>
      <c r="F885">
        <f t="shared" si="107"/>
        <v>2025</v>
      </c>
      <c r="G885" s="2">
        <v>45700</v>
      </c>
      <c r="H885" t="s">
        <v>2622</v>
      </c>
      <c r="I885">
        <f t="shared" si="108"/>
        <v>6</v>
      </c>
      <c r="J885" t="s">
        <v>2795</v>
      </c>
      <c r="K885" t="s">
        <v>62</v>
      </c>
      <c r="L885" t="s">
        <v>37</v>
      </c>
      <c r="M885" t="s">
        <v>38</v>
      </c>
      <c r="N885" t="s">
        <v>145</v>
      </c>
      <c r="O885" t="s">
        <v>146</v>
      </c>
      <c r="P885" t="s">
        <v>28</v>
      </c>
      <c r="Q885" t="s">
        <v>48</v>
      </c>
      <c r="R885" t="s">
        <v>2623</v>
      </c>
      <c r="S885" t="s">
        <v>59</v>
      </c>
      <c r="T885">
        <v>9</v>
      </c>
      <c r="U885">
        <v>3237.16</v>
      </c>
      <c r="V885">
        <v>0.25</v>
      </c>
      <c r="W885">
        <v>0.25</v>
      </c>
      <c r="X885">
        <v>21850.83</v>
      </c>
      <c r="Y885">
        <f t="shared" si="104"/>
        <v>21850.83</v>
      </c>
      <c r="Z885">
        <v>16600.13</v>
      </c>
      <c r="AA885">
        <v>5250.7</v>
      </c>
      <c r="AB885">
        <f t="shared" si="109"/>
        <v>5250.7000000000007</v>
      </c>
      <c r="AC885" s="8">
        <f t="shared" si="110"/>
        <v>0.24029750814957604</v>
      </c>
      <c r="AD885" t="s">
        <v>32</v>
      </c>
      <c r="AE885" t="s">
        <v>33</v>
      </c>
      <c r="AF885" t="str">
        <f t="shared" si="111"/>
        <v>Perfect Match</v>
      </c>
    </row>
    <row r="886" spans="1:32">
      <c r="A886" s="6" t="str">
        <f>IF(OR(I886&lt;0, ISTEXT(W886), ISTEXT(Y886)), "Invalid", IF(OR(B886="Conflicting Duplicate", M886="Unknown", S886="Unknown"), "Warning", "Valid"))</f>
        <v>Invalid</v>
      </c>
      <c r="B886" t="str">
        <f t="shared" si="105"/>
        <v>-</v>
      </c>
      <c r="C886" t="s">
        <v>2627</v>
      </c>
      <c r="D886" s="2">
        <v>45856</v>
      </c>
      <c r="E886" t="str">
        <f t="shared" si="106"/>
        <v>July</v>
      </c>
      <c r="F886">
        <f t="shared" si="107"/>
        <v>2025</v>
      </c>
      <c r="G886" s="2">
        <v>45863</v>
      </c>
      <c r="H886" t="s">
        <v>2628</v>
      </c>
      <c r="I886">
        <f t="shared" si="108"/>
        <v>7</v>
      </c>
      <c r="J886" t="s">
        <v>2795</v>
      </c>
      <c r="K886" t="s">
        <v>114</v>
      </c>
      <c r="L886" t="s">
        <v>37</v>
      </c>
      <c r="M886" t="s">
        <v>25</v>
      </c>
      <c r="N886" t="s">
        <v>136</v>
      </c>
      <c r="O886" t="s">
        <v>137</v>
      </c>
      <c r="P886" t="s">
        <v>74</v>
      </c>
      <c r="Q886" t="s">
        <v>171</v>
      </c>
      <c r="R886" t="s">
        <v>2629</v>
      </c>
      <c r="S886" t="s">
        <v>50</v>
      </c>
      <c r="T886">
        <v>9</v>
      </c>
      <c r="U886">
        <v>3989.52</v>
      </c>
      <c r="V886">
        <v>-0.02</v>
      </c>
      <c r="W886" s="4" t="s">
        <v>2794</v>
      </c>
      <c r="X886">
        <v>35905.68</v>
      </c>
      <c r="Y886" s="4" t="str">
        <f t="shared" si="104"/>
        <v>Cannot Calculate</v>
      </c>
      <c r="Z886">
        <v>23916.1</v>
      </c>
      <c r="AA886">
        <v>11989.58</v>
      </c>
      <c r="AB886" s="4" t="str">
        <f t="shared" si="109"/>
        <v>Cannot Calculate</v>
      </c>
      <c r="AC886" s="9">
        <f t="shared" si="110"/>
        <v>0</v>
      </c>
      <c r="AD886" t="s">
        <v>32</v>
      </c>
      <c r="AE886" t="s">
        <v>33</v>
      </c>
      <c r="AF886" t="str">
        <f t="shared" si="111"/>
        <v>Calculation Blocked</v>
      </c>
    </row>
    <row r="887" spans="1:32">
      <c r="A887" t="str">
        <f>IF(OR(I887&lt;0, ISTEXT(W887), ISTEXT(Y887)), "Invalid", IF(OR(B887="Conflicting Duplicate", M887="Unknown", S887="Unknown"), "Warning", "Valid"))</f>
        <v>Valid</v>
      </c>
      <c r="B887" t="str">
        <f t="shared" si="105"/>
        <v>-</v>
      </c>
      <c r="C887" t="s">
        <v>2630</v>
      </c>
      <c r="D887" s="2">
        <v>45677</v>
      </c>
      <c r="E887" t="str">
        <f t="shared" si="106"/>
        <v>January</v>
      </c>
      <c r="F887">
        <f t="shared" si="107"/>
        <v>2025</v>
      </c>
      <c r="G887" s="2">
        <v>45682</v>
      </c>
      <c r="H887" t="s">
        <v>2631</v>
      </c>
      <c r="I887">
        <f t="shared" si="108"/>
        <v>5</v>
      </c>
      <c r="J887" t="s">
        <v>2795</v>
      </c>
      <c r="K887" t="s">
        <v>89</v>
      </c>
      <c r="L887" t="s">
        <v>95</v>
      </c>
      <c r="M887" t="s">
        <v>63</v>
      </c>
      <c r="N887" t="s">
        <v>190</v>
      </c>
      <c r="O887" t="s">
        <v>191</v>
      </c>
      <c r="P887" t="s">
        <v>28</v>
      </c>
      <c r="Q887" t="s">
        <v>48</v>
      </c>
      <c r="R887" t="s">
        <v>2632</v>
      </c>
      <c r="S887" t="s">
        <v>50</v>
      </c>
      <c r="T887">
        <v>1</v>
      </c>
      <c r="U887">
        <v>3515.15</v>
      </c>
      <c r="V887">
        <v>0</v>
      </c>
      <c r="W887">
        <v>0</v>
      </c>
      <c r="X887">
        <v>3515.15</v>
      </c>
      <c r="Y887">
        <f t="shared" si="104"/>
        <v>3515.15</v>
      </c>
      <c r="Z887">
        <v>2216.34</v>
      </c>
      <c r="AA887">
        <v>1298.81</v>
      </c>
      <c r="AB887">
        <f t="shared" si="109"/>
        <v>1298.81</v>
      </c>
      <c r="AC887" s="8">
        <f t="shared" si="110"/>
        <v>0.36948921098672882</v>
      </c>
      <c r="AD887" t="s">
        <v>32</v>
      </c>
      <c r="AE887" t="s">
        <v>33</v>
      </c>
      <c r="AF887" t="str">
        <f t="shared" si="111"/>
        <v>Perfect Match</v>
      </c>
    </row>
    <row r="888" spans="1:32">
      <c r="A888" t="str">
        <f>IF(OR(I888&lt;0, ISTEXT(W888), ISTEXT(Y888)), "Invalid", IF(OR(B888="Conflicting Duplicate", M888="Unknown", S888="Unknown"), "Warning", "Valid"))</f>
        <v>Valid</v>
      </c>
      <c r="B888" t="str">
        <f t="shared" si="105"/>
        <v>-</v>
      </c>
      <c r="C888" t="s">
        <v>2638</v>
      </c>
      <c r="D888" s="2">
        <v>45797</v>
      </c>
      <c r="E888" t="str">
        <f t="shared" si="106"/>
        <v>May</v>
      </c>
      <c r="F888">
        <f t="shared" si="107"/>
        <v>2025</v>
      </c>
      <c r="G888" s="2">
        <v>45799</v>
      </c>
      <c r="H888" t="s">
        <v>2639</v>
      </c>
      <c r="I888">
        <f t="shared" si="108"/>
        <v>2</v>
      </c>
      <c r="J888" t="s">
        <v>2795</v>
      </c>
      <c r="K888" t="s">
        <v>162</v>
      </c>
      <c r="L888" t="s">
        <v>95</v>
      </c>
      <c r="M888" t="s">
        <v>38</v>
      </c>
      <c r="N888" t="s">
        <v>39</v>
      </c>
      <c r="O888" t="s">
        <v>40</v>
      </c>
      <c r="P888" t="s">
        <v>41</v>
      </c>
      <c r="Q888" t="s">
        <v>42</v>
      </c>
      <c r="R888" t="s">
        <v>2640</v>
      </c>
      <c r="S888" t="s">
        <v>31</v>
      </c>
      <c r="T888">
        <v>2</v>
      </c>
      <c r="U888">
        <v>210.08</v>
      </c>
      <c r="V888">
        <v>0.2</v>
      </c>
      <c r="W888">
        <v>0.2</v>
      </c>
      <c r="X888">
        <v>336.13</v>
      </c>
      <c r="Y888">
        <f t="shared" si="104"/>
        <v>336.13</v>
      </c>
      <c r="Z888">
        <v>242.19</v>
      </c>
      <c r="AA888">
        <v>93.94</v>
      </c>
      <c r="AB888">
        <f t="shared" si="109"/>
        <v>93.94</v>
      </c>
      <c r="AC888" s="8">
        <f t="shared" si="110"/>
        <v>0.27947520304644036</v>
      </c>
      <c r="AD888" t="s">
        <v>32</v>
      </c>
      <c r="AE888" t="s">
        <v>33</v>
      </c>
      <c r="AF888" t="str">
        <f t="shared" si="111"/>
        <v>Perfect Match</v>
      </c>
    </row>
    <row r="889" spans="1:32">
      <c r="A889" t="str">
        <f>IF(OR(I889&lt;0, ISTEXT(W889), ISTEXT(Y889)), "Invalid", IF(OR(B889="Conflicting Duplicate", M889="Unknown", S889="Unknown"), "Warning", "Valid"))</f>
        <v>Valid</v>
      </c>
      <c r="B889" t="str">
        <f t="shared" si="105"/>
        <v>-</v>
      </c>
      <c r="C889" t="s">
        <v>2641</v>
      </c>
      <c r="D889" s="2">
        <v>45804</v>
      </c>
      <c r="E889" t="str">
        <f t="shared" si="106"/>
        <v>May</v>
      </c>
      <c r="F889">
        <f t="shared" si="107"/>
        <v>2025</v>
      </c>
      <c r="G889" s="2">
        <v>45806</v>
      </c>
      <c r="H889" t="s">
        <v>2642</v>
      </c>
      <c r="I889">
        <f t="shared" si="108"/>
        <v>2</v>
      </c>
      <c r="J889" t="s">
        <v>2795</v>
      </c>
      <c r="K889" t="s">
        <v>118</v>
      </c>
      <c r="L889" t="s">
        <v>95</v>
      </c>
      <c r="M889" t="s">
        <v>54</v>
      </c>
      <c r="N889" t="s">
        <v>247</v>
      </c>
      <c r="O889" t="s">
        <v>248</v>
      </c>
      <c r="P889" t="s">
        <v>41</v>
      </c>
      <c r="Q889" t="s">
        <v>57</v>
      </c>
      <c r="R889" t="s">
        <v>2643</v>
      </c>
      <c r="S889" t="s">
        <v>31</v>
      </c>
      <c r="T889">
        <v>1</v>
      </c>
      <c r="U889">
        <v>1744.35</v>
      </c>
      <c r="V889">
        <v>0.25</v>
      </c>
      <c r="W889">
        <v>0.25</v>
      </c>
      <c r="X889">
        <v>1308.26</v>
      </c>
      <c r="Y889">
        <f t="shared" si="104"/>
        <v>1308.26</v>
      </c>
      <c r="Z889">
        <v>1083.56</v>
      </c>
      <c r="AA889">
        <v>224.7</v>
      </c>
      <c r="AB889">
        <f t="shared" si="109"/>
        <v>224.70000000000005</v>
      </c>
      <c r="AC889" s="8">
        <f t="shared" si="110"/>
        <v>0.17175484995337323</v>
      </c>
      <c r="AD889" t="s">
        <v>32</v>
      </c>
      <c r="AE889" t="s">
        <v>33</v>
      </c>
      <c r="AF889" t="str">
        <f t="shared" si="111"/>
        <v>Perfect Match</v>
      </c>
    </row>
    <row r="890" spans="1:32">
      <c r="A890" t="str">
        <f>IF(OR(I890&lt;0, ISTEXT(W890), ISTEXT(Y890)), "Invalid", IF(OR(B890="Conflicting Duplicate", M890="Unknown", S890="Unknown"), "Warning", "Valid"))</f>
        <v>Valid</v>
      </c>
      <c r="B890" t="str">
        <f t="shared" si="105"/>
        <v>-</v>
      </c>
      <c r="C890" t="s">
        <v>2656</v>
      </c>
      <c r="D890" s="2">
        <v>45793</v>
      </c>
      <c r="E890" t="str">
        <f t="shared" si="106"/>
        <v>May</v>
      </c>
      <c r="F890">
        <f t="shared" si="107"/>
        <v>2025</v>
      </c>
      <c r="G890" s="2">
        <v>45799</v>
      </c>
      <c r="H890" t="s">
        <v>2657</v>
      </c>
      <c r="I890">
        <f t="shared" si="108"/>
        <v>6</v>
      </c>
      <c r="J890" t="s">
        <v>2795</v>
      </c>
      <c r="K890" t="s">
        <v>53</v>
      </c>
      <c r="L890" t="s">
        <v>90</v>
      </c>
      <c r="M890" t="s">
        <v>54</v>
      </c>
      <c r="N890" t="s">
        <v>247</v>
      </c>
      <c r="O890" t="s">
        <v>248</v>
      </c>
      <c r="P890" t="s">
        <v>74</v>
      </c>
      <c r="Q890" t="s">
        <v>75</v>
      </c>
      <c r="R890" t="s">
        <v>2658</v>
      </c>
      <c r="S890" t="s">
        <v>44</v>
      </c>
      <c r="T890">
        <v>8</v>
      </c>
      <c r="U890">
        <v>579.79999999999995</v>
      </c>
      <c r="V890">
        <v>0.2</v>
      </c>
      <c r="W890">
        <v>0.2</v>
      </c>
      <c r="X890">
        <v>3710.72</v>
      </c>
      <c r="Y890">
        <f t="shared" si="104"/>
        <v>3710.72</v>
      </c>
      <c r="Z890">
        <v>3115.29</v>
      </c>
      <c r="AA890">
        <v>595.42999999999995</v>
      </c>
      <c r="AB890">
        <f t="shared" si="109"/>
        <v>595.42999999999984</v>
      </c>
      <c r="AC890" s="8">
        <f t="shared" si="110"/>
        <v>0.16046212055881334</v>
      </c>
      <c r="AD890" t="s">
        <v>32</v>
      </c>
      <c r="AE890" t="s">
        <v>33</v>
      </c>
      <c r="AF890" t="str">
        <f t="shared" si="111"/>
        <v>Perfect Match</v>
      </c>
    </row>
    <row r="891" spans="1:32">
      <c r="A891" t="str">
        <f>IF(OR(I891&lt;0, ISTEXT(W891), ISTEXT(Y891)), "Invalid", IF(OR(B891="Conflicting Duplicate", M891="Unknown", S891="Unknown"), "Warning", "Valid"))</f>
        <v>Valid</v>
      </c>
      <c r="B891" t="str">
        <f t="shared" si="105"/>
        <v>-</v>
      </c>
      <c r="C891" t="s">
        <v>2659</v>
      </c>
      <c r="D891" s="2">
        <v>45741</v>
      </c>
      <c r="E891" t="str">
        <f t="shared" si="106"/>
        <v>March</v>
      </c>
      <c r="F891">
        <f t="shared" si="107"/>
        <v>2025</v>
      </c>
      <c r="G891" s="2">
        <v>45749</v>
      </c>
      <c r="H891" t="s">
        <v>2660</v>
      </c>
      <c r="I891">
        <f t="shared" si="108"/>
        <v>8</v>
      </c>
      <c r="J891" t="s">
        <v>2795</v>
      </c>
      <c r="K891" t="s">
        <v>114</v>
      </c>
      <c r="L891" t="s">
        <v>24</v>
      </c>
      <c r="M891" t="s">
        <v>54</v>
      </c>
      <c r="N891" t="s">
        <v>175</v>
      </c>
      <c r="O891" t="s">
        <v>176</v>
      </c>
      <c r="P891" t="s">
        <v>41</v>
      </c>
      <c r="Q891" t="s">
        <v>158</v>
      </c>
      <c r="R891" t="s">
        <v>2661</v>
      </c>
      <c r="S891" t="s">
        <v>31</v>
      </c>
      <c r="T891">
        <v>4</v>
      </c>
      <c r="U891">
        <v>2233.64</v>
      </c>
      <c r="V891">
        <v>0.05</v>
      </c>
      <c r="W891">
        <v>0.05</v>
      </c>
      <c r="X891">
        <v>8487.83</v>
      </c>
      <c r="Y891">
        <f t="shared" si="104"/>
        <v>8487.83</v>
      </c>
      <c r="Z891">
        <v>5245.72</v>
      </c>
      <c r="AA891">
        <v>3242.11</v>
      </c>
      <c r="AB891">
        <f t="shared" si="109"/>
        <v>3242.1099999999997</v>
      </c>
      <c r="AC891" s="8">
        <f t="shared" si="110"/>
        <v>0.38197159933693298</v>
      </c>
      <c r="AD891" t="s">
        <v>32</v>
      </c>
      <c r="AE891" t="s">
        <v>33</v>
      </c>
      <c r="AF891" t="str">
        <f t="shared" si="111"/>
        <v>Perfect Match</v>
      </c>
    </row>
    <row r="892" spans="1:32">
      <c r="A892" t="str">
        <f>IF(OR(I892&lt;0, ISTEXT(W892), ISTEXT(Y892)), "Invalid", IF(OR(B892="Conflicting Duplicate", M892="Unknown", S892="Unknown"), "Warning", "Valid"))</f>
        <v>Valid</v>
      </c>
      <c r="B892" t="str">
        <f t="shared" si="105"/>
        <v>-</v>
      </c>
      <c r="C892" t="s">
        <v>2678</v>
      </c>
      <c r="D892" s="2">
        <v>45724</v>
      </c>
      <c r="E892" t="str">
        <f t="shared" si="106"/>
        <v>March</v>
      </c>
      <c r="F892">
        <f t="shared" si="107"/>
        <v>2025</v>
      </c>
      <c r="G892" s="2">
        <v>45725</v>
      </c>
      <c r="H892" t="s">
        <v>2679</v>
      </c>
      <c r="I892">
        <f t="shared" si="108"/>
        <v>1</v>
      </c>
      <c r="J892" t="s">
        <v>2795</v>
      </c>
      <c r="K892" t="s">
        <v>114</v>
      </c>
      <c r="L892" t="s">
        <v>95</v>
      </c>
      <c r="M892" t="s">
        <v>25</v>
      </c>
      <c r="N892" t="s">
        <v>350</v>
      </c>
      <c r="O892" t="s">
        <v>351</v>
      </c>
      <c r="P892" t="s">
        <v>41</v>
      </c>
      <c r="Q892" t="s">
        <v>57</v>
      </c>
      <c r="R892" t="s">
        <v>2680</v>
      </c>
      <c r="S892" t="s">
        <v>44</v>
      </c>
      <c r="T892">
        <v>4</v>
      </c>
      <c r="U892">
        <v>3405.68</v>
      </c>
      <c r="V892">
        <v>0.2</v>
      </c>
      <c r="W892">
        <v>0.2</v>
      </c>
      <c r="X892">
        <v>10898.18</v>
      </c>
      <c r="Y892">
        <f t="shared" si="104"/>
        <v>10898.18</v>
      </c>
      <c r="Z892">
        <v>6231.41</v>
      </c>
      <c r="AA892">
        <v>4666.7700000000004</v>
      </c>
      <c r="AB892">
        <f t="shared" si="109"/>
        <v>4666.7700000000004</v>
      </c>
      <c r="AC892" s="8">
        <f t="shared" si="110"/>
        <v>0.42821553690616232</v>
      </c>
      <c r="AD892" t="s">
        <v>32</v>
      </c>
      <c r="AE892" t="s">
        <v>33</v>
      </c>
      <c r="AF892" t="str">
        <f t="shared" si="111"/>
        <v>Perfect Match</v>
      </c>
    </row>
    <row r="893" spans="1:32">
      <c r="A893" t="str">
        <f>IF(OR(I893&lt;0, ISTEXT(W893), ISTEXT(Y893)), "Invalid", IF(OR(B893="Conflicting Duplicate", M893="Unknown", S893="Unknown"), "Warning", "Valid"))</f>
        <v>Valid</v>
      </c>
      <c r="B893" t="str">
        <f t="shared" si="105"/>
        <v>-</v>
      </c>
      <c r="C893" t="s">
        <v>2681</v>
      </c>
      <c r="D893" s="2">
        <v>45742</v>
      </c>
      <c r="E893" t="str">
        <f t="shared" si="106"/>
        <v>March</v>
      </c>
      <c r="F893">
        <f t="shared" si="107"/>
        <v>2025</v>
      </c>
      <c r="G893" s="2">
        <v>45747</v>
      </c>
      <c r="H893" t="s">
        <v>2682</v>
      </c>
      <c r="I893">
        <f t="shared" si="108"/>
        <v>5</v>
      </c>
      <c r="J893" t="s">
        <v>2795</v>
      </c>
      <c r="K893" t="s">
        <v>114</v>
      </c>
      <c r="L893" t="s">
        <v>37</v>
      </c>
      <c r="M893" t="s">
        <v>38</v>
      </c>
      <c r="N893" t="s">
        <v>228</v>
      </c>
      <c r="O893" t="s">
        <v>229</v>
      </c>
      <c r="P893" t="s">
        <v>28</v>
      </c>
      <c r="Q893" t="s">
        <v>153</v>
      </c>
      <c r="R893" t="s">
        <v>2683</v>
      </c>
      <c r="S893" t="s">
        <v>50</v>
      </c>
      <c r="T893">
        <v>5</v>
      </c>
      <c r="U893">
        <v>1395.14</v>
      </c>
      <c r="V893">
        <v>0</v>
      </c>
      <c r="W893">
        <v>0</v>
      </c>
      <c r="X893">
        <v>6975.7</v>
      </c>
      <c r="Y893">
        <f t="shared" si="104"/>
        <v>6975.7</v>
      </c>
      <c r="Z893">
        <v>4797.88</v>
      </c>
      <c r="AA893">
        <v>2177.8200000000002</v>
      </c>
      <c r="AB893">
        <f t="shared" si="109"/>
        <v>2177.8199999999997</v>
      </c>
      <c r="AC893" s="8">
        <f t="shared" si="110"/>
        <v>0.31220092607193539</v>
      </c>
      <c r="AD893" t="s">
        <v>32</v>
      </c>
      <c r="AE893" t="s">
        <v>68</v>
      </c>
      <c r="AF893" t="str">
        <f t="shared" si="111"/>
        <v>Perfect Match</v>
      </c>
    </row>
    <row r="894" spans="1:32">
      <c r="A894" t="str">
        <f>IF(OR(I894&lt;0, ISTEXT(W894), ISTEXT(Y894)), "Invalid", IF(OR(B894="Conflicting Duplicate", M894="Unknown", S894="Unknown"), "Warning", "Valid"))</f>
        <v>Valid</v>
      </c>
      <c r="B894" t="str">
        <f t="shared" si="105"/>
        <v>-</v>
      </c>
      <c r="C894" t="s">
        <v>2684</v>
      </c>
      <c r="D894" s="2">
        <v>45906</v>
      </c>
      <c r="E894" t="str">
        <f t="shared" si="106"/>
        <v>September</v>
      </c>
      <c r="F894">
        <f t="shared" si="107"/>
        <v>2025</v>
      </c>
      <c r="G894" s="2">
        <v>45908</v>
      </c>
      <c r="H894" t="s">
        <v>2685</v>
      </c>
      <c r="I894">
        <f t="shared" si="108"/>
        <v>2</v>
      </c>
      <c r="J894" t="s">
        <v>2795</v>
      </c>
      <c r="K894" t="s">
        <v>128</v>
      </c>
      <c r="L894" t="s">
        <v>95</v>
      </c>
      <c r="M894" t="s">
        <v>63</v>
      </c>
      <c r="N894" t="s">
        <v>72</v>
      </c>
      <c r="O894" t="s">
        <v>73</v>
      </c>
      <c r="P894" t="s">
        <v>41</v>
      </c>
      <c r="Q894" t="s">
        <v>57</v>
      </c>
      <c r="R894" t="s">
        <v>2686</v>
      </c>
      <c r="S894" t="s">
        <v>44</v>
      </c>
      <c r="T894">
        <v>3</v>
      </c>
      <c r="U894">
        <v>2937.23</v>
      </c>
      <c r="V894">
        <v>0</v>
      </c>
      <c r="W894">
        <v>0</v>
      </c>
      <c r="X894">
        <v>8811.69</v>
      </c>
      <c r="Y894">
        <f t="shared" si="104"/>
        <v>8811.69</v>
      </c>
      <c r="Z894">
        <v>6765.91</v>
      </c>
      <c r="AA894">
        <v>2045.78</v>
      </c>
      <c r="AB894">
        <f t="shared" si="109"/>
        <v>2045.7800000000007</v>
      </c>
      <c r="AC894" s="8">
        <f t="shared" si="110"/>
        <v>0.23216658779416893</v>
      </c>
      <c r="AD894" t="s">
        <v>32</v>
      </c>
      <c r="AE894" t="s">
        <v>33</v>
      </c>
      <c r="AF894" t="str">
        <f t="shared" si="111"/>
        <v>Perfect Match</v>
      </c>
    </row>
    <row r="895" spans="1:32">
      <c r="A895" s="6" t="str">
        <f>IF(OR(I895&lt;0, ISTEXT(W895), ISTEXT(Y895)), "Invalid", IF(OR(B895="Conflicting Duplicate", M895="Unknown", S895="Unknown"), "Warning", "Valid"))</f>
        <v>Invalid</v>
      </c>
      <c r="B895" t="str">
        <f t="shared" si="105"/>
        <v>-</v>
      </c>
      <c r="C895" t="s">
        <v>2687</v>
      </c>
      <c r="D895" s="2">
        <v>45902</v>
      </c>
      <c r="E895" t="str">
        <f t="shared" si="106"/>
        <v>September</v>
      </c>
      <c r="F895">
        <f t="shared" si="107"/>
        <v>2025</v>
      </c>
      <c r="G895" s="2">
        <v>45786</v>
      </c>
      <c r="H895" t="s">
        <v>2688</v>
      </c>
      <c r="I895" s="7">
        <f t="shared" si="108"/>
        <v>-116</v>
      </c>
      <c r="J895" s="7" t="s">
        <v>2802</v>
      </c>
      <c r="K895" t="s">
        <v>71</v>
      </c>
      <c r="L895" t="s">
        <v>24</v>
      </c>
      <c r="M895" t="s">
        <v>54</v>
      </c>
      <c r="N895" t="s">
        <v>247</v>
      </c>
      <c r="O895" t="s">
        <v>248</v>
      </c>
      <c r="P895" t="s">
        <v>74</v>
      </c>
      <c r="Q895" t="s">
        <v>171</v>
      </c>
      <c r="R895" t="s">
        <v>2689</v>
      </c>
      <c r="S895" t="s">
        <v>50</v>
      </c>
      <c r="T895">
        <v>5</v>
      </c>
      <c r="U895">
        <v>3406.87</v>
      </c>
      <c r="V895">
        <v>0</v>
      </c>
      <c r="W895">
        <v>0</v>
      </c>
      <c r="X895">
        <v>17034.349999999999</v>
      </c>
      <c r="Y895">
        <f t="shared" si="104"/>
        <v>17034.349999999999</v>
      </c>
      <c r="Z895">
        <v>14631.36</v>
      </c>
      <c r="AA895">
        <v>2402.9899999999998</v>
      </c>
      <c r="AB895">
        <f t="shared" si="109"/>
        <v>2402.989999999998</v>
      </c>
      <c r="AC895" s="8">
        <f t="shared" si="110"/>
        <v>0.14106731398615141</v>
      </c>
      <c r="AD895" t="s">
        <v>32</v>
      </c>
      <c r="AE895" t="s">
        <v>33</v>
      </c>
      <c r="AF895" t="str">
        <f t="shared" si="111"/>
        <v>Perfect Match</v>
      </c>
    </row>
    <row r="896" spans="1:32">
      <c r="A896" s="6" t="str">
        <f>IF(OR(I896&lt;0, ISTEXT(W896), ISTEXT(Y896)), "Invalid", IF(OR(B896="Conflicting Duplicate", M896="Unknown", S896="Unknown"), "Warning", "Valid"))</f>
        <v>Invalid</v>
      </c>
      <c r="B896" t="str">
        <f t="shared" si="105"/>
        <v>-</v>
      </c>
      <c r="C896" t="s">
        <v>2690</v>
      </c>
      <c r="D896" s="2">
        <v>45810</v>
      </c>
      <c r="E896" t="str">
        <f t="shared" si="106"/>
        <v>June</v>
      </c>
      <c r="F896">
        <f t="shared" si="107"/>
        <v>2025</v>
      </c>
      <c r="G896" s="2">
        <v>45702</v>
      </c>
      <c r="H896" t="s">
        <v>2691</v>
      </c>
      <c r="I896" s="7">
        <f t="shared" si="108"/>
        <v>-108</v>
      </c>
      <c r="J896" s="7" t="s">
        <v>2802</v>
      </c>
      <c r="K896" t="s">
        <v>264</v>
      </c>
      <c r="L896" t="s">
        <v>24</v>
      </c>
      <c r="M896" t="s">
        <v>63</v>
      </c>
      <c r="N896" t="s">
        <v>64</v>
      </c>
      <c r="O896" t="s">
        <v>65</v>
      </c>
      <c r="P896" t="s">
        <v>28</v>
      </c>
      <c r="Q896" t="s">
        <v>91</v>
      </c>
      <c r="R896" t="s">
        <v>2692</v>
      </c>
      <c r="S896" t="s">
        <v>31</v>
      </c>
      <c r="T896">
        <v>2</v>
      </c>
      <c r="U896">
        <v>3992.04</v>
      </c>
      <c r="V896">
        <v>0</v>
      </c>
      <c r="W896">
        <v>0</v>
      </c>
      <c r="X896">
        <v>7984.08</v>
      </c>
      <c r="Y896">
        <f t="shared" si="104"/>
        <v>7984.08</v>
      </c>
      <c r="Z896">
        <v>5658.05</v>
      </c>
      <c r="AA896">
        <v>2326.0300000000002</v>
      </c>
      <c r="AB896">
        <f t="shared" si="109"/>
        <v>2326.0299999999997</v>
      </c>
      <c r="AC896" s="8">
        <f t="shared" si="110"/>
        <v>0.29133350367230787</v>
      </c>
      <c r="AD896" t="s">
        <v>32</v>
      </c>
      <c r="AE896" t="s">
        <v>33</v>
      </c>
      <c r="AF896" t="str">
        <f t="shared" si="111"/>
        <v>Perfect Match</v>
      </c>
    </row>
    <row r="897" spans="1:32">
      <c r="A897" t="str">
        <f>IF(OR(I897&lt;0, ISTEXT(W897), ISTEXT(Y897)), "Invalid", IF(OR(B897="Conflicting Duplicate", M897="Unknown", S897="Unknown"), "Warning", "Valid"))</f>
        <v>Valid</v>
      </c>
      <c r="B897" t="str">
        <f t="shared" si="105"/>
        <v>-</v>
      </c>
      <c r="C897" t="s">
        <v>2693</v>
      </c>
      <c r="D897" s="2">
        <v>45714</v>
      </c>
      <c r="E897" t="str">
        <f t="shared" si="106"/>
        <v>February</v>
      </c>
      <c r="F897">
        <f t="shared" si="107"/>
        <v>2025</v>
      </c>
      <c r="G897" s="2">
        <v>45722</v>
      </c>
      <c r="H897" t="s">
        <v>2694</v>
      </c>
      <c r="I897">
        <f t="shared" si="108"/>
        <v>8</v>
      </c>
      <c r="J897" t="s">
        <v>2795</v>
      </c>
      <c r="K897" t="s">
        <v>114</v>
      </c>
      <c r="L897" t="s">
        <v>24</v>
      </c>
      <c r="M897" t="s">
        <v>38</v>
      </c>
      <c r="N897" t="s">
        <v>145</v>
      </c>
      <c r="O897" t="s">
        <v>146</v>
      </c>
      <c r="P897" t="s">
        <v>41</v>
      </c>
      <c r="Q897" t="s">
        <v>158</v>
      </c>
      <c r="R897" t="s">
        <v>2695</v>
      </c>
      <c r="S897" t="s">
        <v>50</v>
      </c>
      <c r="T897">
        <v>9</v>
      </c>
      <c r="U897">
        <v>3043.37</v>
      </c>
      <c r="V897">
        <v>0.2</v>
      </c>
      <c r="W897">
        <v>0.2</v>
      </c>
      <c r="X897">
        <v>21912.26</v>
      </c>
      <c r="Y897">
        <f t="shared" si="104"/>
        <v>21912.26</v>
      </c>
      <c r="Z897">
        <v>16367.78</v>
      </c>
      <c r="AA897">
        <v>5544.48</v>
      </c>
      <c r="AB897">
        <f t="shared" si="109"/>
        <v>5544.4799999999977</v>
      </c>
      <c r="AC897" s="8">
        <f t="shared" si="110"/>
        <v>0.25303095162251626</v>
      </c>
      <c r="AD897" t="s">
        <v>111</v>
      </c>
      <c r="AE897" t="s">
        <v>68</v>
      </c>
      <c r="AF897" t="str">
        <f t="shared" si="111"/>
        <v>Perfect Match</v>
      </c>
    </row>
    <row r="898" spans="1:32">
      <c r="A898" s="6" t="str">
        <f>IF(OR(I898&lt;0, ISTEXT(W898), ISTEXT(Y898)), "Invalid", IF(OR(B898="Conflicting Duplicate", M898="Unknown", S898="Unknown"), "Warning", "Valid"))</f>
        <v>Invalid</v>
      </c>
      <c r="B898" t="str">
        <f t="shared" si="105"/>
        <v>-</v>
      </c>
      <c r="C898" t="s">
        <v>2699</v>
      </c>
      <c r="D898" s="2">
        <v>45965</v>
      </c>
      <c r="E898" t="str">
        <f t="shared" si="106"/>
        <v>November</v>
      </c>
      <c r="F898">
        <f t="shared" si="107"/>
        <v>2025</v>
      </c>
      <c r="G898" s="2">
        <v>45762</v>
      </c>
      <c r="H898" t="s">
        <v>2700</v>
      </c>
      <c r="I898" s="7">
        <f t="shared" si="108"/>
        <v>-203</v>
      </c>
      <c r="J898" s="7" t="s">
        <v>2802</v>
      </c>
      <c r="K898" t="s">
        <v>71</v>
      </c>
      <c r="L898" t="s">
        <v>95</v>
      </c>
      <c r="M898" t="s">
        <v>54</v>
      </c>
      <c r="N898" t="s">
        <v>175</v>
      </c>
      <c r="O898" t="s">
        <v>176</v>
      </c>
      <c r="P898" t="s">
        <v>28</v>
      </c>
      <c r="Q898" t="s">
        <v>124</v>
      </c>
      <c r="R898" t="s">
        <v>2701</v>
      </c>
      <c r="S898" t="s">
        <v>44</v>
      </c>
      <c r="T898">
        <v>9</v>
      </c>
      <c r="U898">
        <v>224.94</v>
      </c>
      <c r="V898">
        <v>0.05</v>
      </c>
      <c r="W898">
        <v>0.05</v>
      </c>
      <c r="X898">
        <v>1923.24</v>
      </c>
      <c r="Y898">
        <f t="shared" ref="Y898:Y913" si="112">IF(ISTEXT(W898), "Cannot Calculate", ROUND(T898 * U898 * (1 - W898), 2))</f>
        <v>1923.24</v>
      </c>
      <c r="Z898">
        <v>1093.6600000000001</v>
      </c>
      <c r="AA898">
        <v>829.58</v>
      </c>
      <c r="AB898">
        <f t="shared" si="109"/>
        <v>829.57999999999993</v>
      </c>
      <c r="AC898" s="8">
        <f t="shared" si="110"/>
        <v>0.43134502194213925</v>
      </c>
      <c r="AD898" t="s">
        <v>32</v>
      </c>
      <c r="AE898" t="s">
        <v>33</v>
      </c>
      <c r="AF898" t="str">
        <f t="shared" si="111"/>
        <v>Perfect Match</v>
      </c>
    </row>
    <row r="899" spans="1:32">
      <c r="A899" s="6" t="str">
        <f>IF(OR(I899&lt;0, ISTEXT(W899), ISTEXT(Y899)), "Invalid", IF(OR(B899="Conflicting Duplicate", M899="Unknown", S899="Unknown"), "Warning", "Valid"))</f>
        <v>Warning</v>
      </c>
      <c r="B899" t="str">
        <f t="shared" ref="B899:B913" si="113">IF(COUNTIF(C:C, C899)&gt;1, "Conflicting Duplicate", "-")</f>
        <v>-</v>
      </c>
      <c r="C899" t="s">
        <v>2702</v>
      </c>
      <c r="D899" s="2">
        <v>45722</v>
      </c>
      <c r="E899" t="str">
        <f t="shared" ref="E899:E913" si="114">TEXT(D899, "mmmm")</f>
        <v>March</v>
      </c>
      <c r="F899">
        <f t="shared" ref="F899:F913" si="115">YEAR(D899)</f>
        <v>2025</v>
      </c>
      <c r="G899" s="2">
        <v>45841</v>
      </c>
      <c r="H899" t="s">
        <v>2703</v>
      </c>
      <c r="I899">
        <f t="shared" ref="I899:I913" si="116">G899-D899</f>
        <v>119</v>
      </c>
      <c r="J899" t="s">
        <v>2795</v>
      </c>
      <c r="K899" t="s">
        <v>141</v>
      </c>
      <c r="L899" t="s">
        <v>95</v>
      </c>
      <c r="M899" s="4" t="s">
        <v>2790</v>
      </c>
      <c r="N899" t="s">
        <v>350</v>
      </c>
      <c r="O899" t="s">
        <v>351</v>
      </c>
      <c r="P899" t="s">
        <v>41</v>
      </c>
      <c r="Q899" t="s">
        <v>66</v>
      </c>
      <c r="R899" t="s">
        <v>1158</v>
      </c>
      <c r="S899" t="s">
        <v>44</v>
      </c>
      <c r="T899">
        <v>6</v>
      </c>
      <c r="U899">
        <v>796.65</v>
      </c>
      <c r="V899">
        <v>0.1</v>
      </c>
      <c r="W899">
        <v>0.1</v>
      </c>
      <c r="X899">
        <v>4301.91</v>
      </c>
      <c r="Y899">
        <f t="shared" si="112"/>
        <v>4301.91</v>
      </c>
      <c r="Z899">
        <v>2374.4</v>
      </c>
      <c r="AA899">
        <v>1927.51</v>
      </c>
      <c r="AB899">
        <f t="shared" ref="AB899:AB913" si="117">IF(ISTEXT(Y899), "Cannot Calculate", Y899 - Z899)</f>
        <v>1927.5099999999998</v>
      </c>
      <c r="AC899" s="8">
        <f t="shared" ref="AC899:AC913" si="118">IFERROR(AB899 / Y899, 0)</f>
        <v>0.44805911792668834</v>
      </c>
      <c r="AD899" t="s">
        <v>32</v>
      </c>
      <c r="AE899" t="s">
        <v>33</v>
      </c>
      <c r="AF899" t="str">
        <f t="shared" ref="AF899:AF913" si="119">IF(OR(ISTEXT(Z899), ISTEXT(AB899)), "Calculation Blocked", IF(OR(ROUND(X899, 2) &lt;&gt; ROUND(Y899, 2), ROUND(AA899, 2) &lt;&gt; ROUND(AB899, 2)), "Mismatch Found", "Perfect Match"))</f>
        <v>Perfect Match</v>
      </c>
    </row>
    <row r="900" spans="1:32">
      <c r="A900" t="str">
        <f>IF(OR(I900&lt;0, ISTEXT(W900), ISTEXT(Y900)), "Invalid", IF(OR(B900="Conflicting Duplicate", M900="Unknown", S900="Unknown"), "Warning", "Valid"))</f>
        <v>Valid</v>
      </c>
      <c r="B900" t="str">
        <f t="shared" si="113"/>
        <v>-</v>
      </c>
      <c r="C900" t="s">
        <v>2704</v>
      </c>
      <c r="D900" s="2">
        <v>45814</v>
      </c>
      <c r="E900" t="str">
        <f t="shared" si="114"/>
        <v>June</v>
      </c>
      <c r="F900">
        <f t="shared" si="115"/>
        <v>2025</v>
      </c>
      <c r="G900" s="2">
        <v>45815</v>
      </c>
      <c r="H900" t="s">
        <v>2705</v>
      </c>
      <c r="I900">
        <f t="shared" si="116"/>
        <v>1</v>
      </c>
      <c r="J900" t="s">
        <v>2795</v>
      </c>
      <c r="K900" t="s">
        <v>71</v>
      </c>
      <c r="L900" t="s">
        <v>90</v>
      </c>
      <c r="M900" t="s">
        <v>63</v>
      </c>
      <c r="N900" t="s">
        <v>190</v>
      </c>
      <c r="O900" t="s">
        <v>191</v>
      </c>
      <c r="P900" t="s">
        <v>41</v>
      </c>
      <c r="Q900" t="s">
        <v>42</v>
      </c>
      <c r="R900" t="s">
        <v>2706</v>
      </c>
      <c r="S900" t="s">
        <v>59</v>
      </c>
      <c r="T900">
        <v>9</v>
      </c>
      <c r="U900">
        <v>2932.92</v>
      </c>
      <c r="V900">
        <v>0.15</v>
      </c>
      <c r="W900">
        <v>0.15</v>
      </c>
      <c r="X900">
        <v>22436.84</v>
      </c>
      <c r="Y900">
        <f t="shared" si="112"/>
        <v>22436.84</v>
      </c>
      <c r="Z900">
        <v>17454.669999999998</v>
      </c>
      <c r="AA900">
        <v>4982.17</v>
      </c>
      <c r="AB900">
        <f t="shared" si="117"/>
        <v>4982.1700000000019</v>
      </c>
      <c r="AC900" s="8">
        <f t="shared" si="118"/>
        <v>0.22205310551753285</v>
      </c>
      <c r="AD900" t="s">
        <v>32</v>
      </c>
      <c r="AE900" t="s">
        <v>68</v>
      </c>
      <c r="AF900" t="str">
        <f t="shared" si="119"/>
        <v>Perfect Match</v>
      </c>
    </row>
    <row r="901" spans="1:32">
      <c r="A901" t="str">
        <f>IF(OR(I901&lt;0, ISTEXT(W901), ISTEXT(Y901)), "Invalid", IF(OR(B901="Conflicting Duplicate", M901="Unknown", S901="Unknown"), "Warning", "Valid"))</f>
        <v>Valid</v>
      </c>
      <c r="B901" t="str">
        <f t="shared" si="113"/>
        <v>-</v>
      </c>
      <c r="C901" t="s">
        <v>2711</v>
      </c>
      <c r="D901" s="2">
        <v>45689</v>
      </c>
      <c r="E901" t="str">
        <f t="shared" si="114"/>
        <v>February</v>
      </c>
      <c r="F901">
        <f t="shared" si="115"/>
        <v>2025</v>
      </c>
      <c r="G901" s="2">
        <v>45871</v>
      </c>
      <c r="H901" t="s">
        <v>2712</v>
      </c>
      <c r="I901">
        <f t="shared" si="116"/>
        <v>182</v>
      </c>
      <c r="J901" t="s">
        <v>2795</v>
      </c>
      <c r="K901" t="s">
        <v>89</v>
      </c>
      <c r="L901" t="s">
        <v>95</v>
      </c>
      <c r="M901" t="s">
        <v>63</v>
      </c>
      <c r="N901" t="s">
        <v>180</v>
      </c>
      <c r="O901" t="s">
        <v>181</v>
      </c>
      <c r="P901" t="s">
        <v>28</v>
      </c>
      <c r="Q901" t="s">
        <v>124</v>
      </c>
      <c r="R901" t="s">
        <v>2713</v>
      </c>
      <c r="S901" t="s">
        <v>31</v>
      </c>
      <c r="T901">
        <v>8</v>
      </c>
      <c r="U901">
        <v>623.30999999999995</v>
      </c>
      <c r="V901">
        <v>0.1</v>
      </c>
      <c r="W901">
        <v>0.1</v>
      </c>
      <c r="X901">
        <v>4487.83</v>
      </c>
      <c r="Y901">
        <f t="shared" si="112"/>
        <v>4487.83</v>
      </c>
      <c r="Z901">
        <v>2633.78</v>
      </c>
      <c r="AA901">
        <v>1854.05</v>
      </c>
      <c r="AB901">
        <f t="shared" si="117"/>
        <v>1854.0499999999997</v>
      </c>
      <c r="AC901" s="8">
        <f t="shared" si="118"/>
        <v>0.41312839390083844</v>
      </c>
      <c r="AD901" t="s">
        <v>32</v>
      </c>
      <c r="AE901" t="s">
        <v>33</v>
      </c>
      <c r="AF901" t="str">
        <f t="shared" si="119"/>
        <v>Perfect Match</v>
      </c>
    </row>
    <row r="902" spans="1:32">
      <c r="A902" t="str">
        <f>IF(OR(I902&lt;0, ISTEXT(W902), ISTEXT(Y902)), "Invalid", IF(OR(B902="Conflicting Duplicate", M902="Unknown", S902="Unknown"), "Warning", "Valid"))</f>
        <v>Valid</v>
      </c>
      <c r="B902" t="str">
        <f t="shared" si="113"/>
        <v>-</v>
      </c>
      <c r="C902" t="s">
        <v>2714</v>
      </c>
      <c r="D902" s="2">
        <v>45853</v>
      </c>
      <c r="E902" t="str">
        <f t="shared" si="114"/>
        <v>July</v>
      </c>
      <c r="F902">
        <f t="shared" si="115"/>
        <v>2025</v>
      </c>
      <c r="G902" s="2">
        <v>45854</v>
      </c>
      <c r="H902" t="s">
        <v>2715</v>
      </c>
      <c r="I902">
        <f t="shared" si="116"/>
        <v>1</v>
      </c>
      <c r="J902" t="s">
        <v>2795</v>
      </c>
      <c r="K902" t="s">
        <v>71</v>
      </c>
      <c r="L902" t="s">
        <v>37</v>
      </c>
      <c r="M902" t="s">
        <v>63</v>
      </c>
      <c r="N902" t="s">
        <v>64</v>
      </c>
      <c r="O902" t="s">
        <v>65</v>
      </c>
      <c r="P902" t="s">
        <v>28</v>
      </c>
      <c r="Q902" t="s">
        <v>29</v>
      </c>
      <c r="R902" t="s">
        <v>2716</v>
      </c>
      <c r="S902" t="s">
        <v>59</v>
      </c>
      <c r="T902">
        <v>8</v>
      </c>
      <c r="U902">
        <v>3924.88</v>
      </c>
      <c r="V902">
        <v>0.05</v>
      </c>
      <c r="W902">
        <v>0.05</v>
      </c>
      <c r="X902">
        <v>29829.09</v>
      </c>
      <c r="Y902">
        <f t="shared" si="112"/>
        <v>29829.09</v>
      </c>
      <c r="Z902">
        <v>20710.18</v>
      </c>
      <c r="AA902">
        <v>9118.91</v>
      </c>
      <c r="AB902">
        <f t="shared" si="117"/>
        <v>9118.91</v>
      </c>
      <c r="AC902" s="8">
        <f t="shared" si="118"/>
        <v>0.30570526958750671</v>
      </c>
      <c r="AD902" t="s">
        <v>32</v>
      </c>
      <c r="AE902" t="s">
        <v>33</v>
      </c>
      <c r="AF902" t="str">
        <f t="shared" si="119"/>
        <v>Perfect Match</v>
      </c>
    </row>
    <row r="903" spans="1:32">
      <c r="A903" t="str">
        <f>IF(OR(I903&lt;0, ISTEXT(W903), ISTEXT(Y903)), "Invalid", IF(OR(B903="Conflicting Duplicate", M903="Unknown", S903="Unknown"), "Warning", "Valid"))</f>
        <v>Valid</v>
      </c>
      <c r="B903" t="str">
        <f t="shared" si="113"/>
        <v>-</v>
      </c>
      <c r="C903" t="s">
        <v>2722</v>
      </c>
      <c r="D903" s="2">
        <v>45895</v>
      </c>
      <c r="E903" t="str">
        <f t="shared" si="114"/>
        <v>August</v>
      </c>
      <c r="F903">
        <f t="shared" si="115"/>
        <v>2025</v>
      </c>
      <c r="G903" s="2">
        <v>45903</v>
      </c>
      <c r="H903" t="s">
        <v>2723</v>
      </c>
      <c r="I903">
        <f t="shared" si="116"/>
        <v>8</v>
      </c>
      <c r="J903" t="s">
        <v>2795</v>
      </c>
      <c r="K903" t="s">
        <v>128</v>
      </c>
      <c r="L903" t="s">
        <v>24</v>
      </c>
      <c r="M903" t="s">
        <v>63</v>
      </c>
      <c r="N903" t="s">
        <v>26</v>
      </c>
      <c r="O903" t="s">
        <v>109</v>
      </c>
      <c r="P903" t="s">
        <v>28</v>
      </c>
      <c r="Q903" t="s">
        <v>124</v>
      </c>
      <c r="R903" t="s">
        <v>2724</v>
      </c>
      <c r="S903" t="s">
        <v>31</v>
      </c>
      <c r="T903">
        <v>6</v>
      </c>
      <c r="U903">
        <v>674.36</v>
      </c>
      <c r="V903">
        <v>0.1</v>
      </c>
      <c r="W903">
        <v>0.1</v>
      </c>
      <c r="X903">
        <v>3641.54</v>
      </c>
      <c r="Y903">
        <f t="shared" si="112"/>
        <v>3641.54</v>
      </c>
      <c r="Z903">
        <v>2690.37</v>
      </c>
      <c r="AA903">
        <v>951.17</v>
      </c>
      <c r="AB903">
        <f t="shared" si="117"/>
        <v>951.17000000000007</v>
      </c>
      <c r="AC903" s="8">
        <f t="shared" si="118"/>
        <v>0.26119993189694474</v>
      </c>
      <c r="AD903" t="s">
        <v>32</v>
      </c>
      <c r="AE903" t="s">
        <v>33</v>
      </c>
      <c r="AF903" t="str">
        <f t="shared" si="119"/>
        <v>Perfect Match</v>
      </c>
    </row>
    <row r="904" spans="1:32">
      <c r="A904" t="str">
        <f>IF(OR(I904&lt;0, ISTEXT(W904), ISTEXT(Y904)), "Invalid", IF(OR(B904="Conflicting Duplicate", M904="Unknown", S904="Unknown"), "Warning", "Valid"))</f>
        <v>Valid</v>
      </c>
      <c r="B904" t="str">
        <f t="shared" si="113"/>
        <v>-</v>
      </c>
      <c r="C904" t="s">
        <v>2728</v>
      </c>
      <c r="D904" s="2">
        <v>45896</v>
      </c>
      <c r="E904" t="str">
        <f t="shared" si="114"/>
        <v>August</v>
      </c>
      <c r="F904">
        <f t="shared" si="115"/>
        <v>2025</v>
      </c>
      <c r="G904" s="2">
        <v>45897</v>
      </c>
      <c r="H904" t="s">
        <v>2729</v>
      </c>
      <c r="I904">
        <f t="shared" si="116"/>
        <v>1</v>
      </c>
      <c r="J904" t="s">
        <v>2795</v>
      </c>
      <c r="K904" t="s">
        <v>62</v>
      </c>
      <c r="L904" t="s">
        <v>95</v>
      </c>
      <c r="M904" t="s">
        <v>25</v>
      </c>
      <c r="N904" t="s">
        <v>136</v>
      </c>
      <c r="O904" t="s">
        <v>137</v>
      </c>
      <c r="P904" t="s">
        <v>28</v>
      </c>
      <c r="Q904" t="s">
        <v>48</v>
      </c>
      <c r="R904" t="s">
        <v>2730</v>
      </c>
      <c r="S904" t="s">
        <v>59</v>
      </c>
      <c r="T904">
        <v>6</v>
      </c>
      <c r="U904">
        <v>1182.03</v>
      </c>
      <c r="V904">
        <v>0.15</v>
      </c>
      <c r="W904">
        <v>0.15</v>
      </c>
      <c r="X904">
        <v>6028.35</v>
      </c>
      <c r="Y904">
        <f t="shared" si="112"/>
        <v>6028.35</v>
      </c>
      <c r="Z904">
        <v>4433.63</v>
      </c>
      <c r="AA904">
        <v>1594.72</v>
      </c>
      <c r="AB904">
        <f t="shared" si="117"/>
        <v>1594.7200000000003</v>
      </c>
      <c r="AC904" s="8">
        <f t="shared" si="118"/>
        <v>0.2645367306145131</v>
      </c>
      <c r="AD904" t="s">
        <v>32</v>
      </c>
      <c r="AE904" t="s">
        <v>33</v>
      </c>
      <c r="AF904" t="str">
        <f t="shared" si="119"/>
        <v>Perfect Match</v>
      </c>
    </row>
    <row r="905" spans="1:32">
      <c r="A905" t="str">
        <f>IF(OR(I905&lt;0, ISTEXT(W905), ISTEXT(Y905)), "Invalid", IF(OR(B905="Conflicting Duplicate", M905="Unknown", S905="Unknown"), "Warning", "Valid"))</f>
        <v>Valid</v>
      </c>
      <c r="B905" t="str">
        <f t="shared" si="113"/>
        <v>-</v>
      </c>
      <c r="C905" t="s">
        <v>2737</v>
      </c>
      <c r="D905" s="2">
        <v>45690</v>
      </c>
      <c r="E905" t="str">
        <f t="shared" si="114"/>
        <v>February</v>
      </c>
      <c r="F905">
        <f t="shared" si="115"/>
        <v>2025</v>
      </c>
      <c r="G905" s="2">
        <v>45698</v>
      </c>
      <c r="H905" t="s">
        <v>2738</v>
      </c>
      <c r="I905">
        <f t="shared" si="116"/>
        <v>8</v>
      </c>
      <c r="J905" t="s">
        <v>2795</v>
      </c>
      <c r="K905" t="s">
        <v>132</v>
      </c>
      <c r="L905" t="s">
        <v>90</v>
      </c>
      <c r="M905" t="s">
        <v>38</v>
      </c>
      <c r="N905" t="s">
        <v>145</v>
      </c>
      <c r="O905" t="s">
        <v>146</v>
      </c>
      <c r="P905" t="s">
        <v>74</v>
      </c>
      <c r="Q905" t="s">
        <v>75</v>
      </c>
      <c r="R905" t="s">
        <v>2739</v>
      </c>
      <c r="S905" t="s">
        <v>59</v>
      </c>
      <c r="T905">
        <v>4</v>
      </c>
      <c r="U905">
        <v>1912.45</v>
      </c>
      <c r="V905">
        <v>0</v>
      </c>
      <c r="W905">
        <v>0</v>
      </c>
      <c r="X905">
        <v>7649.8</v>
      </c>
      <c r="Y905">
        <f t="shared" si="112"/>
        <v>7649.8</v>
      </c>
      <c r="Z905">
        <v>4894.53</v>
      </c>
      <c r="AA905">
        <v>2755.27</v>
      </c>
      <c r="AB905">
        <f t="shared" si="117"/>
        <v>2755.2700000000004</v>
      </c>
      <c r="AC905" s="8">
        <f t="shared" si="118"/>
        <v>0.36017542942299152</v>
      </c>
      <c r="AD905" t="s">
        <v>111</v>
      </c>
      <c r="AE905" t="s">
        <v>103</v>
      </c>
      <c r="AF905" t="str">
        <f t="shared" si="119"/>
        <v>Perfect Match</v>
      </c>
    </row>
    <row r="906" spans="1:32">
      <c r="A906" t="str">
        <f>IF(OR(I906&lt;0, ISTEXT(W906), ISTEXT(Y906)), "Invalid", IF(OR(B906="Conflicting Duplicate", M906="Unknown", S906="Unknown"), "Warning", "Valid"))</f>
        <v>Valid</v>
      </c>
      <c r="B906" t="str">
        <f t="shared" si="113"/>
        <v>-</v>
      </c>
      <c r="C906" t="s">
        <v>2740</v>
      </c>
      <c r="D906" s="2">
        <v>45775</v>
      </c>
      <c r="E906" t="str">
        <f t="shared" si="114"/>
        <v>April</v>
      </c>
      <c r="F906">
        <f t="shared" si="115"/>
        <v>2025</v>
      </c>
      <c r="G906" s="2">
        <v>45778</v>
      </c>
      <c r="H906" t="s">
        <v>2741</v>
      </c>
      <c r="I906">
        <f t="shared" si="116"/>
        <v>3</v>
      </c>
      <c r="J906" t="s">
        <v>2795</v>
      </c>
      <c r="K906" t="s">
        <v>128</v>
      </c>
      <c r="L906" t="s">
        <v>37</v>
      </c>
      <c r="M906" t="s">
        <v>63</v>
      </c>
      <c r="N906" t="s">
        <v>190</v>
      </c>
      <c r="O906" t="s">
        <v>191</v>
      </c>
      <c r="P906" t="s">
        <v>28</v>
      </c>
      <c r="Q906" t="s">
        <v>124</v>
      </c>
      <c r="R906" t="s">
        <v>2742</v>
      </c>
      <c r="S906" t="s">
        <v>44</v>
      </c>
      <c r="T906">
        <v>1</v>
      </c>
      <c r="U906">
        <v>1620.87</v>
      </c>
      <c r="V906">
        <v>0</v>
      </c>
      <c r="W906">
        <v>0</v>
      </c>
      <c r="X906">
        <v>1620.87</v>
      </c>
      <c r="Y906">
        <f t="shared" si="112"/>
        <v>1620.87</v>
      </c>
      <c r="Z906">
        <v>1103.6099999999999</v>
      </c>
      <c r="AA906">
        <v>517.26</v>
      </c>
      <c r="AB906">
        <f t="shared" si="117"/>
        <v>517.26</v>
      </c>
      <c r="AC906" s="8">
        <f t="shared" si="118"/>
        <v>0.31912491439782342</v>
      </c>
      <c r="AD906" t="s">
        <v>32</v>
      </c>
      <c r="AE906" t="s">
        <v>33</v>
      </c>
      <c r="AF906" t="str">
        <f t="shared" si="119"/>
        <v>Perfect Match</v>
      </c>
    </row>
    <row r="907" spans="1:32">
      <c r="A907" t="str">
        <f>IF(OR(I907&lt;0, ISTEXT(W907), ISTEXT(Y907)), "Invalid", IF(OR(B907="Conflicting Duplicate", M907="Unknown", S907="Unknown"), "Warning", "Valid"))</f>
        <v>Valid</v>
      </c>
      <c r="B907" t="str">
        <f t="shared" si="113"/>
        <v>-</v>
      </c>
      <c r="C907" t="s">
        <v>2743</v>
      </c>
      <c r="D907" s="2">
        <v>45675</v>
      </c>
      <c r="E907" t="str">
        <f t="shared" si="114"/>
        <v>January</v>
      </c>
      <c r="F907">
        <f t="shared" si="115"/>
        <v>2025</v>
      </c>
      <c r="G907" s="2">
        <v>45682</v>
      </c>
      <c r="H907" t="s">
        <v>2744</v>
      </c>
      <c r="I907">
        <f t="shared" si="116"/>
        <v>7</v>
      </c>
      <c r="J907" t="s">
        <v>2795</v>
      </c>
      <c r="K907" t="s">
        <v>79</v>
      </c>
      <c r="L907" t="s">
        <v>95</v>
      </c>
      <c r="M907" t="s">
        <v>54</v>
      </c>
      <c r="N907" t="s">
        <v>175</v>
      </c>
      <c r="O907" t="s">
        <v>176</v>
      </c>
      <c r="P907" t="s">
        <v>28</v>
      </c>
      <c r="Q907" t="s">
        <v>124</v>
      </c>
      <c r="R907" t="s">
        <v>2745</v>
      </c>
      <c r="S907" t="s">
        <v>44</v>
      </c>
      <c r="T907">
        <v>2</v>
      </c>
      <c r="U907">
        <v>2098.54</v>
      </c>
      <c r="V907">
        <v>0.15</v>
      </c>
      <c r="W907">
        <v>0.15</v>
      </c>
      <c r="X907">
        <v>3567.52</v>
      </c>
      <c r="Y907">
        <f t="shared" si="112"/>
        <v>3567.52</v>
      </c>
      <c r="Z907">
        <v>2411.8000000000002</v>
      </c>
      <c r="AA907">
        <v>1155.72</v>
      </c>
      <c r="AB907">
        <f t="shared" si="117"/>
        <v>1155.7199999999998</v>
      </c>
      <c r="AC907" s="8">
        <f t="shared" si="118"/>
        <v>0.3239561375969861</v>
      </c>
      <c r="AD907" t="s">
        <v>32</v>
      </c>
      <c r="AE907" t="s">
        <v>33</v>
      </c>
      <c r="AF907" t="str">
        <f t="shared" si="119"/>
        <v>Perfect Match</v>
      </c>
    </row>
    <row r="908" spans="1:32">
      <c r="A908" s="6" t="str">
        <f>IF(OR(I908&lt;0, ISTEXT(W908), ISTEXT(Y908)), "Invalid", IF(OR(B908="Conflicting Duplicate", M908="Unknown", S908="Unknown"), "Warning", "Valid"))</f>
        <v>Invalid</v>
      </c>
      <c r="B908" t="str">
        <f t="shared" si="113"/>
        <v>-</v>
      </c>
      <c r="C908" t="s">
        <v>2749</v>
      </c>
      <c r="D908" s="2">
        <v>45773</v>
      </c>
      <c r="E908" t="str">
        <f t="shared" si="114"/>
        <v>April</v>
      </c>
      <c r="F908">
        <f t="shared" si="115"/>
        <v>2025</v>
      </c>
      <c r="G908" s="2">
        <v>45721</v>
      </c>
      <c r="H908" t="s">
        <v>2750</v>
      </c>
      <c r="I908" s="7">
        <f t="shared" si="116"/>
        <v>-52</v>
      </c>
      <c r="J908" s="7" t="s">
        <v>2802</v>
      </c>
      <c r="K908" t="s">
        <v>53</v>
      </c>
      <c r="L908" t="s">
        <v>95</v>
      </c>
      <c r="M908" t="s">
        <v>54</v>
      </c>
      <c r="N908" t="s">
        <v>247</v>
      </c>
      <c r="O908" t="s">
        <v>248</v>
      </c>
      <c r="P908" t="s">
        <v>74</v>
      </c>
      <c r="Q908" t="s">
        <v>75</v>
      </c>
      <c r="R908" t="s">
        <v>2751</v>
      </c>
      <c r="S908" t="s">
        <v>50</v>
      </c>
      <c r="T908">
        <v>7</v>
      </c>
      <c r="U908">
        <v>3989.9</v>
      </c>
      <c r="V908">
        <v>0.15</v>
      </c>
      <c r="W908">
        <v>0.15</v>
      </c>
      <c r="X908">
        <v>23739.9</v>
      </c>
      <c r="Y908">
        <f t="shared" si="112"/>
        <v>23739.91</v>
      </c>
      <c r="Z908">
        <v>17716.52</v>
      </c>
      <c r="AA908">
        <v>6023.38</v>
      </c>
      <c r="AB908">
        <f t="shared" si="117"/>
        <v>6023.3899999999994</v>
      </c>
      <c r="AC908" s="8">
        <f t="shared" si="118"/>
        <v>0.25372421378177085</v>
      </c>
      <c r="AD908" t="s">
        <v>32</v>
      </c>
      <c r="AE908" t="s">
        <v>68</v>
      </c>
      <c r="AF908" t="str">
        <f t="shared" si="119"/>
        <v>Mismatch Found</v>
      </c>
    </row>
    <row r="909" spans="1:32">
      <c r="A909" t="str">
        <f>IF(OR(I909&lt;0, ISTEXT(W909), ISTEXT(Y909)), "Invalid", IF(OR(B909="Conflicting Duplicate", M909="Unknown", S909="Unknown"), "Warning", "Valid"))</f>
        <v>Valid</v>
      </c>
      <c r="B909" t="str">
        <f t="shared" si="113"/>
        <v>-</v>
      </c>
      <c r="C909" t="s">
        <v>2755</v>
      </c>
      <c r="D909" s="2">
        <v>45816</v>
      </c>
      <c r="E909" t="str">
        <f t="shared" si="114"/>
        <v>June</v>
      </c>
      <c r="F909">
        <f t="shared" si="115"/>
        <v>2025</v>
      </c>
      <c r="G909" s="2">
        <v>45846</v>
      </c>
      <c r="H909" t="s">
        <v>2756</v>
      </c>
      <c r="I909">
        <f t="shared" si="116"/>
        <v>30</v>
      </c>
      <c r="J909" t="s">
        <v>2795</v>
      </c>
      <c r="K909" t="s">
        <v>118</v>
      </c>
      <c r="L909" t="s">
        <v>37</v>
      </c>
      <c r="M909" t="s">
        <v>63</v>
      </c>
      <c r="N909" t="s">
        <v>64</v>
      </c>
      <c r="O909" t="s">
        <v>65</v>
      </c>
      <c r="P909" t="s">
        <v>28</v>
      </c>
      <c r="Q909" t="s">
        <v>48</v>
      </c>
      <c r="R909" t="s">
        <v>2757</v>
      </c>
      <c r="S909" t="s">
        <v>59</v>
      </c>
      <c r="T909">
        <v>4</v>
      </c>
      <c r="U909">
        <v>3523.64</v>
      </c>
      <c r="V909">
        <v>0.1</v>
      </c>
      <c r="W909">
        <v>0.1</v>
      </c>
      <c r="X909">
        <v>12685.1</v>
      </c>
      <c r="Y909">
        <f t="shared" si="112"/>
        <v>12685.1</v>
      </c>
      <c r="Z909">
        <v>10779.56</v>
      </c>
      <c r="AA909">
        <v>1905.54</v>
      </c>
      <c r="AB909">
        <f t="shared" si="117"/>
        <v>1905.5400000000009</v>
      </c>
      <c r="AC909" s="8">
        <f t="shared" si="118"/>
        <v>0.15021876059313691</v>
      </c>
      <c r="AD909" t="s">
        <v>102</v>
      </c>
      <c r="AE909" t="s">
        <v>68</v>
      </c>
      <c r="AF909" t="str">
        <f t="shared" si="119"/>
        <v>Perfect Match</v>
      </c>
    </row>
    <row r="910" spans="1:32">
      <c r="A910" t="str">
        <f>IF(OR(I910&lt;0, ISTEXT(W910), ISTEXT(Y910)), "Invalid", IF(OR(B910="Conflicting Duplicate", M910="Unknown", S910="Unknown"), "Warning", "Valid"))</f>
        <v>Valid</v>
      </c>
      <c r="B910" t="str">
        <f t="shared" si="113"/>
        <v>-</v>
      </c>
      <c r="C910" t="s">
        <v>2758</v>
      </c>
      <c r="D910" s="2">
        <v>45726</v>
      </c>
      <c r="E910" t="str">
        <f t="shared" si="114"/>
        <v>March</v>
      </c>
      <c r="F910">
        <f t="shared" si="115"/>
        <v>2025</v>
      </c>
      <c r="G910" s="2">
        <v>45727</v>
      </c>
      <c r="H910" t="s">
        <v>892</v>
      </c>
      <c r="I910">
        <f t="shared" si="116"/>
        <v>1</v>
      </c>
      <c r="J910" t="s">
        <v>2795</v>
      </c>
      <c r="K910" t="s">
        <v>89</v>
      </c>
      <c r="L910" t="s">
        <v>95</v>
      </c>
      <c r="M910" t="s">
        <v>63</v>
      </c>
      <c r="N910" t="s">
        <v>72</v>
      </c>
      <c r="O910" t="s">
        <v>73</v>
      </c>
      <c r="P910" t="s">
        <v>28</v>
      </c>
      <c r="Q910" t="s">
        <v>124</v>
      </c>
      <c r="R910" t="s">
        <v>2759</v>
      </c>
      <c r="S910" t="s">
        <v>50</v>
      </c>
      <c r="T910">
        <v>2</v>
      </c>
      <c r="U910">
        <v>3922.08</v>
      </c>
      <c r="V910">
        <v>0.25</v>
      </c>
      <c r="W910">
        <v>0.25</v>
      </c>
      <c r="X910">
        <v>5883.12</v>
      </c>
      <c r="Y910">
        <f t="shared" si="112"/>
        <v>5883.12</v>
      </c>
      <c r="Z910">
        <v>4647.91</v>
      </c>
      <c r="AA910">
        <v>1235.21</v>
      </c>
      <c r="AB910">
        <f t="shared" si="117"/>
        <v>1235.21</v>
      </c>
      <c r="AC910" s="8">
        <f t="shared" si="118"/>
        <v>0.20995832143488491</v>
      </c>
      <c r="AD910" t="s">
        <v>32</v>
      </c>
      <c r="AE910" t="s">
        <v>103</v>
      </c>
      <c r="AF910" t="str">
        <f t="shared" si="119"/>
        <v>Perfect Match</v>
      </c>
    </row>
    <row r="911" spans="1:32">
      <c r="A911" t="str">
        <f>IF(OR(I911&lt;0, ISTEXT(W911), ISTEXT(Y911)), "Invalid", IF(OR(B911="Conflicting Duplicate", M911="Unknown", S911="Unknown"), "Warning", "Valid"))</f>
        <v>Valid</v>
      </c>
      <c r="B911" t="str">
        <f t="shared" si="113"/>
        <v>-</v>
      </c>
      <c r="C911" t="s">
        <v>2766</v>
      </c>
      <c r="D911" s="2">
        <v>45759</v>
      </c>
      <c r="E911" t="str">
        <f t="shared" si="114"/>
        <v>April</v>
      </c>
      <c r="F911">
        <f t="shared" si="115"/>
        <v>2025</v>
      </c>
      <c r="G911" s="2">
        <v>45765</v>
      </c>
      <c r="H911" t="s">
        <v>2767</v>
      </c>
      <c r="I911">
        <f t="shared" si="116"/>
        <v>6</v>
      </c>
      <c r="J911" t="s">
        <v>2795</v>
      </c>
      <c r="K911" t="s">
        <v>47</v>
      </c>
      <c r="L911" t="s">
        <v>37</v>
      </c>
      <c r="M911" t="s">
        <v>38</v>
      </c>
      <c r="N911" t="s">
        <v>228</v>
      </c>
      <c r="O911" t="s">
        <v>229</v>
      </c>
      <c r="P911" t="s">
        <v>74</v>
      </c>
      <c r="Q911" t="s">
        <v>80</v>
      </c>
      <c r="R911" t="s">
        <v>2768</v>
      </c>
      <c r="S911" t="s">
        <v>44</v>
      </c>
      <c r="T911">
        <v>1</v>
      </c>
      <c r="U911">
        <v>726.89</v>
      </c>
      <c r="V911">
        <v>0.2</v>
      </c>
      <c r="W911">
        <v>0.2</v>
      </c>
      <c r="X911">
        <v>581.51</v>
      </c>
      <c r="Y911">
        <f t="shared" si="112"/>
        <v>581.51</v>
      </c>
      <c r="Z911">
        <v>423.86</v>
      </c>
      <c r="AA911">
        <v>157.65</v>
      </c>
      <c r="AB911">
        <f t="shared" si="117"/>
        <v>157.64999999999998</v>
      </c>
      <c r="AC911" s="8">
        <f t="shared" si="118"/>
        <v>0.27110453818506985</v>
      </c>
      <c r="AD911" t="s">
        <v>32</v>
      </c>
      <c r="AE911" t="s">
        <v>33</v>
      </c>
      <c r="AF911" t="str">
        <f t="shared" si="119"/>
        <v>Perfect Match</v>
      </c>
    </row>
    <row r="912" spans="1:32">
      <c r="A912" t="str">
        <f>IF(OR(I912&lt;0, ISTEXT(W912), ISTEXT(Y912)), "Invalid", IF(OR(B912="Conflicting Duplicate", M912="Unknown", S912="Unknown"), "Warning", "Valid"))</f>
        <v>Valid</v>
      </c>
      <c r="B912" t="str">
        <f t="shared" si="113"/>
        <v>-</v>
      </c>
      <c r="C912" t="s">
        <v>2781</v>
      </c>
      <c r="D912" s="2">
        <v>45776</v>
      </c>
      <c r="E912" t="str">
        <f t="shared" si="114"/>
        <v>April</v>
      </c>
      <c r="F912">
        <f t="shared" si="115"/>
        <v>2025</v>
      </c>
      <c r="G912" s="2">
        <v>45780</v>
      </c>
      <c r="H912" t="s">
        <v>2143</v>
      </c>
      <c r="I912">
        <f t="shared" si="116"/>
        <v>4</v>
      </c>
      <c r="J912" t="s">
        <v>2795</v>
      </c>
      <c r="K912" t="s">
        <v>141</v>
      </c>
      <c r="L912" t="s">
        <v>90</v>
      </c>
      <c r="M912" t="s">
        <v>25</v>
      </c>
      <c r="N912" t="s">
        <v>236</v>
      </c>
      <c r="O912" t="s">
        <v>237</v>
      </c>
      <c r="P912" t="s">
        <v>28</v>
      </c>
      <c r="Q912" t="s">
        <v>29</v>
      </c>
      <c r="R912" t="s">
        <v>2782</v>
      </c>
      <c r="S912" t="s">
        <v>50</v>
      </c>
      <c r="T912">
        <v>4</v>
      </c>
      <c r="U912">
        <v>1786.65</v>
      </c>
      <c r="V912">
        <v>0.05</v>
      </c>
      <c r="W912">
        <v>0.05</v>
      </c>
      <c r="X912">
        <v>6789.27</v>
      </c>
      <c r="Y912">
        <f t="shared" si="112"/>
        <v>6789.27</v>
      </c>
      <c r="Z912">
        <v>5626.43</v>
      </c>
      <c r="AA912">
        <v>1162.8399999999999</v>
      </c>
      <c r="AB912">
        <f t="shared" si="117"/>
        <v>1162.8400000000001</v>
      </c>
      <c r="AC912" s="8">
        <f t="shared" si="118"/>
        <v>0.17127614603631908</v>
      </c>
      <c r="AD912" t="s">
        <v>32</v>
      </c>
      <c r="AE912" t="s">
        <v>33</v>
      </c>
      <c r="AF912" t="str">
        <f t="shared" si="119"/>
        <v>Perfect Match</v>
      </c>
    </row>
    <row r="913" spans="1:32">
      <c r="A913" t="str">
        <f>IF(OR(I913&lt;0, ISTEXT(W913), ISTEXT(Y913)), "Invalid", IF(OR(B913="Conflicting Duplicate", M913="Unknown", S913="Unknown"), "Warning", "Valid"))</f>
        <v>Valid</v>
      </c>
      <c r="B913" t="str">
        <f t="shared" si="113"/>
        <v>-</v>
      </c>
      <c r="C913" t="s">
        <v>2786</v>
      </c>
      <c r="D913" s="2">
        <v>45804</v>
      </c>
      <c r="E913" t="str">
        <f t="shared" si="114"/>
        <v>May</v>
      </c>
      <c r="F913">
        <f t="shared" si="115"/>
        <v>2025</v>
      </c>
      <c r="G913" s="2">
        <v>45811</v>
      </c>
      <c r="H913" t="s">
        <v>2787</v>
      </c>
      <c r="I913">
        <f t="shared" si="116"/>
        <v>7</v>
      </c>
      <c r="J913" t="s">
        <v>2795</v>
      </c>
      <c r="K913" t="s">
        <v>23</v>
      </c>
      <c r="L913" t="s">
        <v>24</v>
      </c>
      <c r="M913" t="s">
        <v>25</v>
      </c>
      <c r="N913" t="s">
        <v>122</v>
      </c>
      <c r="O913" t="s">
        <v>123</v>
      </c>
      <c r="P913" t="s">
        <v>41</v>
      </c>
      <c r="Q913" t="s">
        <v>66</v>
      </c>
      <c r="R913" t="s">
        <v>2788</v>
      </c>
      <c r="S913" t="s">
        <v>50</v>
      </c>
      <c r="T913">
        <v>5</v>
      </c>
      <c r="U913">
        <v>881.08</v>
      </c>
      <c r="V913">
        <v>0.25</v>
      </c>
      <c r="W913">
        <v>0.25</v>
      </c>
      <c r="X913">
        <v>3304.05</v>
      </c>
      <c r="Y913">
        <f t="shared" si="112"/>
        <v>3304.05</v>
      </c>
      <c r="Z913">
        <v>2279.41</v>
      </c>
      <c r="AA913">
        <v>1024.6400000000001</v>
      </c>
      <c r="AB913">
        <f t="shared" si="117"/>
        <v>1024.6400000000003</v>
      </c>
      <c r="AC913" s="8">
        <f t="shared" si="118"/>
        <v>0.31011637233092726</v>
      </c>
      <c r="AD913" t="s">
        <v>155</v>
      </c>
      <c r="AE913" t="s">
        <v>68</v>
      </c>
      <c r="AF913" t="str">
        <f t="shared" si="119"/>
        <v>Perfect Match</v>
      </c>
    </row>
  </sheetData>
  <autoFilter ref="A1:AG913" xr:uid="{56AF59C5-5851-5B43-B081-EE8FC74AA6E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B8A372-2B91-924F-AC86-CC61137DA2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Sanjog Raina</dc:creator>
  <cp:lastModifiedBy>Sanjog Raina</cp:lastModifiedBy>
  <dcterms:created xsi:type="dcterms:W3CDTF">2026-06-19T11:03:26Z</dcterms:created>
  <dcterms:modified xsi:type="dcterms:W3CDTF">2026-06-23T17:57:22Z</dcterms:modified>
</cp:coreProperties>
</file>